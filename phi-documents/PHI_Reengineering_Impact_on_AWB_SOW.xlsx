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ummary" sheetId="2" state="visible" r:id="rId4"/>
    <sheet name="RE to SOW Impact" sheetId="3" state="visible" r:id="rId5"/>
    <sheet name="SOW Item Impact" sheetId="4" state="visible" r:id="rId6"/>
    <sheet name="SOW Phase Timelin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<sst xmlns="http://schemas.openxmlformats.org/spreadsheetml/2006/main" count="797" uniqueCount="428">
  <si>
    <t xml:space="preserve">Impact of PHI Re-engineering on the AWB SOW</t>
  </si>
  <si>
    <t xml:space="preserve">Purpose</t>
  </si>
  <si>
    <t xml:space="preserve">Shows how each of the 23 re-engineering opportunities affects Achieve Without Borders' SOW S343096 — which items change, what AWB must build differently, the indicative extra effort and cost, where scope could shrink, and when PHI must decide.</t>
  </si>
  <si>
    <t xml:space="preserve">Sources</t>
  </si>
  <si>
    <t xml:space="preserve">PHI Process Re-engineering Opportunities (RE-01 to RE-23); AWB SOW S343096 (vendor-signed 24 Sep 2026); PHI clarification letter Appendix A/B.</t>
  </si>
  <si>
    <t xml:space="preserve">Impact types</t>
  </si>
  <si>
    <t xml:space="preserve">Adoption only = AWB configures what is already scoped; PHI changes how it works. Design change = same SOW item, different specification agreed at BRD. Extends SOW scope = more than the item covers. Depends on Appendix A/B = relies on a gap item already raised with AWB. PHI internal = no AWB effort.</t>
  </si>
  <si>
    <t xml:space="preserve">Effort figures</t>
  </si>
  <si>
    <t xml:space="preserve">INDICATIVE PHI estimates in man-days, for negotiation only — not AWB quotes. They count only the effort beyond what Appendix A already asks AWB to price, so they do not double count the clarification letter.</t>
  </si>
  <si>
    <t xml:space="preserve">Offsets</t>
  </si>
  <si>
    <t xml:space="preserve">Where re-engineering could reduce SOW effort (e.g., consolidating three approval workflows into one DOA engine, removing gateway work from item #76, avoiding data-migration flex). Use them to fund the extensions.</t>
  </si>
  <si>
    <t xml:space="preserve">Rates</t>
  </si>
  <si>
    <t xml:space="preserve">Blue cells on the Summary sheet: PHP 10,000 (SOW base rate) and PHP 12,000 (flex / change-request rate). Change them to test scenarios.</t>
  </si>
  <si>
    <t xml:space="preserve">Key timing point</t>
  </si>
  <si>
    <t xml:space="preserve">BRD sign-off (end of week 4) is deemed accepted after 5 working days. Every design decision here must be in the BRD — after sign-off it becomes a change request at the higher rate.</t>
  </si>
  <si>
    <t xml:space="preserve">Yellow cells</t>
  </si>
  <si>
    <t xml:space="preserve">PHI and AWB responses: AWB estimate, agreed treatment, status.</t>
  </si>
  <si>
    <t xml:space="preserve">Summary — what re-engineering means for the AWB SOW</t>
  </si>
  <si>
    <t xml:space="preserve">All figures are formulas. Blue cells are assumptions you can change.</t>
  </si>
  <si>
    <t xml:space="preserve">Assumptions</t>
  </si>
  <si>
    <t xml:space="preserve">SOW base rate (PHP per man-day)</t>
  </si>
  <si>
    <t xml:space="preserve">Flex / change-request rate (PHP per man-day)</t>
  </si>
  <si>
    <t xml:space="preserve">Opportunities by impact on the SOW</t>
  </si>
  <si>
    <t xml:space="preserve">Impact type</t>
  </si>
  <si>
    <t xml:space="preserve">Opportunities</t>
  </si>
  <si>
    <t xml:space="preserve">Extra effort low (md)</t>
  </si>
  <si>
    <t xml:space="preserve">Extra effort high (md)</t>
  </si>
  <si>
    <t xml:space="preserve">Adoption only — configure as scoped</t>
  </si>
  <si>
    <t xml:space="preserve">Design change within existing SOW item</t>
  </si>
  <si>
    <t xml:space="preserve">Extends SOW scope</t>
  </si>
  <si>
    <t xml:space="preserve">Depends on Appendix A/B gap item</t>
  </si>
  <si>
    <t xml:space="preserve">PHI internal — no AWB effort</t>
  </si>
  <si>
    <t xml:space="preserve">Total</t>
  </si>
  <si>
    <t xml:space="preserve">Indicative cost of the extra effort</t>
  </si>
  <si>
    <t xml:space="preserve">Scenario</t>
  </si>
  <si>
    <t xml:space="preserve">Low</t>
  </si>
  <si>
    <t xml:space="preserve">High</t>
  </si>
  <si>
    <t xml:space="preserve">Note</t>
  </si>
  <si>
    <t xml:space="preserve">Extra effort (man-days)</t>
  </si>
  <si>
    <t xml:space="preserve">Beyond Appendix A requests</t>
  </si>
  <si>
    <t xml:space="preserve">Possible offsets (man-days)</t>
  </si>
  <si>
    <t xml:space="preserve">DOA consolidation, #76 gateway, avoided migration flex</t>
  </si>
  <si>
    <t xml:space="preserve">Net extra effort (man-days)</t>
  </si>
  <si>
    <t xml:space="preserve">Low = least extra minus most offset; High = most extra minus least offset</t>
  </si>
  <si>
    <t xml:space="preserve">Net cost if in base scope (PHP, ex-VAT)</t>
  </si>
  <si>
    <t xml:space="preserve">At SOW base rate</t>
  </si>
  <si>
    <t xml:space="preserve">Net cost if raised as change requests (PHP, ex-VAT)</t>
  </si>
  <si>
    <t xml:space="preserve">At flex / CR rate</t>
  </si>
  <si>
    <t xml:space="preserve">Saving from agreeing it before BRD sign-off (PHP)</t>
  </si>
  <si>
    <t xml:space="preserve">Difference between the two rates</t>
  </si>
  <si>
    <t xml:space="preserve">SOW items touched</t>
  </si>
  <si>
    <t xml:space="preserve">§3.3 items touched by at least one opportunity</t>
  </si>
  <si>
    <t xml:space="preserve">Dev-days of those items (SOW)</t>
  </si>
  <si>
    <t xml:space="preserve">Share of itemized SOW dev-days touched</t>
  </si>
  <si>
    <t xml:space="preserve">Estimates are indicative PHI figures for negotiation, not AWB quotes. Ask AWB to confirm each on the RE to SOW Impact sheet (yellow columns).</t>
  </si>
  <si>
    <t xml:space="preserve">Re-engineering → SOW impact</t>
  </si>
  <si>
    <t xml:space="preserve">One row per opportunity. Figures in blue are PHI's indicative estimates. Yellow columns are for the negotiation.</t>
  </si>
  <si>
    <t xml:space="preserve">ID</t>
  </si>
  <si>
    <t xml:space="preserve">Opportunity</t>
  </si>
  <si>
    <t xml:space="preserve">SOW sections affected</t>
  </si>
  <si>
    <t xml:space="preserve">SOW §3.3 items affected</t>
  </si>
  <si>
    <t xml:space="preserve">Items (count)</t>
  </si>
  <si>
    <t xml:space="preserve">Dev-days of affected items (SOW)</t>
  </si>
  <si>
    <t xml:space="preserve">Impact on SOW</t>
  </si>
  <si>
    <t xml:space="preserve">What AWB must build or configure differently</t>
  </si>
  <si>
    <t xml:space="preserve">Linked Appendix item</t>
  </si>
  <si>
    <t xml:space="preserve">Possible offset low (md)</t>
  </si>
  <si>
    <t xml:space="preserve">Possible offset high (md)</t>
  </si>
  <si>
    <t xml:space="preserve">SOW phase where built</t>
  </si>
  <si>
    <t xml:space="preserve">Decide by</t>
  </si>
  <si>
    <t xml:space="preserve">Suggested SOW / BRD wording</t>
  </si>
  <si>
    <t xml:space="preserve">Flex category if not in base</t>
  </si>
  <si>
    <t xml:space="preserve">Risk if not addressed</t>
  </si>
  <si>
    <t xml:space="preserve">AWB estimate (md)</t>
  </si>
  <si>
    <t xml:space="preserve">Agreed treatment</t>
  </si>
  <si>
    <t xml:space="preserve">Status</t>
  </si>
  <si>
    <t xml:space="preserve">RE-01</t>
  </si>
  <si>
    <t xml:space="preserve">Driver-based budget with commitment control</t>
  </si>
  <si>
    <t xml:space="preserve">§3.1 G Finance Core (corporate &amp; department budget; TORC budget)</t>
  </si>
  <si>
    <t xml:space="preserve">—</t>
  </si>
  <si>
    <t xml:space="preserve">Build a driver-based budget with versioned quarterly reforecasts. Check and reserve budget at purchase request for all spend (not only TORC), and route over-budget requests to the DOA approver before a PO is issued.</t>
  </si>
  <si>
    <t xml:space="preserve">A8</t>
  </si>
  <si>
    <t xml:space="preserve">Phase 3 – Build Wave 2 (wk 9–14)</t>
  </si>
  <si>
    <t xml:space="preserve">Now — before BRD sign-off (wk 4)</t>
  </si>
  <si>
    <t xml:space="preserve">Budget control applies at purchase-request (commitment) stage for all spend, with reserved amounts released on PO cancellation.</t>
  </si>
  <si>
    <t xml:space="preserve">Change Order</t>
  </si>
  <si>
    <t xml:space="preserve">Budget stays a reporting tool; overspend is found only after bills post.</t>
  </si>
  <si>
    <t xml:space="preserve">Open</t>
  </si>
  <si>
    <t xml:space="preserve">RE-02</t>
  </si>
  <si>
    <t xml:space="preserve">One digital Delegation of Authority matrix</t>
  </si>
  <si>
    <t xml:space="preserve">§3.4 Custom workflows (approval matrices); §3.1 B subcontractor approval matrix</t>
  </si>
  <si>
    <t xml:space="preserve">#21, #45, #60, #62, #63, #64</t>
  </si>
  <si>
    <t xml:space="preserve">Build one configurable DOA engine (document type × amount × risk) used by every approval flow, with parallel steps, SLA escalation, auto-approval below threshold and a sampling flag — instead of separate Project, Lot and Broker approval workflows.</t>
  </si>
  <si>
    <t xml:space="preserve">Phase 2 – Build Wave 1 (wk 5–10)</t>
  </si>
  <si>
    <t xml:space="preserve">All approval workflows (#21, #45, #60, #62–64, subcontractor billing) use a single DOA matrix that PHI can maintain without code changes.</t>
  </si>
  <si>
    <t xml:space="preserve">User Access and Approval Matrix</t>
  </si>
  <si>
    <t xml:space="preserve">Three or more hard-coded workflows; every DOA change becomes a change request.</t>
  </si>
  <si>
    <t xml:space="preserve">RE-03</t>
  </si>
  <si>
    <t xml:space="preserve">Two-stage land due diligence with deal scorecard</t>
  </si>
  <si>
    <t xml:space="preserve">§3.1 C Land Acquisition</t>
  </si>
  <si>
    <t xml:space="preserve">#7, #20, #21, #86</t>
  </si>
  <si>
    <t xml:space="preserve">Split the DD checklist into a knock-out stage and a full stage, allow parallel task assignment, and add a standard deal scorecard view for ManCom.</t>
  </si>
  <si>
    <t xml:space="preserve">DD checklists support staged gates (knock-out, full) with parallel tasks and a standard scorecard report.</t>
  </si>
  <si>
    <t xml:space="preserve">Requirements Analysis</t>
  </si>
  <si>
    <t xml:space="preserve">DD stays sequential in the system; doomed deals consume DD spend.</t>
  </si>
  <si>
    <t xml:space="preserve">RE-04</t>
  </si>
  <si>
    <t xml:space="preserve">Evidence-based land payments and filing calendar</t>
  </si>
  <si>
    <t xml:space="preserve">§3.1 C Acquisition &amp; Payments</t>
  </si>
  <si>
    <t xml:space="preserve">#24, #26, #29, #60</t>
  </si>
  <si>
    <t xml:space="preserve">Block milestone payment requests until evidence is uploaded and verified by Legal; generate the filing calendar from deed data; add a titles-in-transit view.</t>
  </si>
  <si>
    <t xml:space="preserve">Milestone payment requests require verified evidence; BIR/LGU filing calendar auto-generated at deed signing.</t>
  </si>
  <si>
    <t xml:space="preserve">Payments can still be released before conditions are met.</t>
  </si>
  <si>
    <t xml:space="preserve">RE-05</t>
  </si>
  <si>
    <t xml:space="preserve">Project templates and a hard License-to-Sell gate</t>
  </si>
  <si>
    <t xml:space="preserve">§3.1 C Project Setup Wizard; launch readiness gate</t>
  </si>
  <si>
    <t xml:space="preserve">#9, #10, #11, #12, #13, #14, #15, #33, #37, #70</t>
  </si>
  <si>
    <t xml:space="preserve">Add a template library per project type that clones WBS, cost codes, milestones and documents. Add a permit register, and make DP and License to Sell hard gate criteria that block reservation (#33), not only SO confirmation (#37).</t>
  </si>
  <si>
    <t xml:space="preserve">A7</t>
  </si>
  <si>
    <t xml:space="preserve">Launch gate criteria include DP and License to Sell and are enforced at reservation.</t>
  </si>
  <si>
    <t xml:space="preserve">Reservations possible before LTS; project structures remain inconsistent.</t>
  </si>
  <si>
    <t xml:space="preserve">RE-06</t>
  </si>
  <si>
    <t xml:space="preserve">One Group cost-code structure</t>
  </si>
  <si>
    <t xml:space="preserve">§3.1 G Foundation and data spine (analytic tags, Chart of Accounts)</t>
  </si>
  <si>
    <t xml:space="preserve">No change in effort: configure PHI's Group cost-code structure as the analytic plans, with the analytic account mandatory on every cost line. PHI must hand over the structure before BRD sign-off.</t>
  </si>
  <si>
    <t xml:space="preserve">Phase 1 – Discovery &amp; BRD (wk 1–4)</t>
  </si>
  <si>
    <t xml:space="preserve">Now — hand over structure before BRD sign-off (wk 4)</t>
  </si>
  <si>
    <t xml:space="preserve">Analytic plans follow the Group cost-code structure supplied by PHI; analytic mandatory on all cost lines.</t>
  </si>
  <si>
    <t xml:space="preserve">Reports and migration built on the wrong structure; rework after go-live.</t>
  </si>
  <si>
    <t xml:space="preserve">RE-07</t>
  </si>
  <si>
    <t xml:space="preserve">Measure construction progress once, use it three times</t>
  </si>
  <si>
    <t xml:space="preserve">§3.1 B Construction; F Contracts &amp; retention; D Construction schedule</t>
  </si>
  <si>
    <t xml:space="preserve">#30, #66, #67, #68, #69</t>
  </si>
  <si>
    <t xml:space="preserve">Capture % complete per BOQ line on mobile with geotagged photos; use the verified % to drive progress billing (retention, recoupment), unit status (#69) and the POC revenue input.</t>
  </si>
  <si>
    <t xml:space="preserve">A6, A3</t>
  </si>
  <si>
    <t xml:space="preserve">Verified construction progress is the single source for contractor billing, unit construction status and revenue recognition.</t>
  </si>
  <si>
    <t xml:space="preserve">Progress keyed three times; billing disputes and revenue lag remain.</t>
  </si>
  <si>
    <t xml:space="preserve">RE-08</t>
  </si>
  <si>
    <t xml:space="preserve">Pricing governance and a single price source</t>
  </si>
  <si>
    <t xml:space="preserve">§3.1 D Pricing controls; H Pricing rules engine</t>
  </si>
  <si>
    <t xml:space="preserve">#49</t>
  </si>
  <si>
    <t xml:space="preserve">Configure the discount matrix by authority level and scheduled price escalations per phase; publish prices only via the broker portal.</t>
  </si>
  <si>
    <t xml:space="preserve">Discount leakage continues if the matrix isn't configured.</t>
  </si>
  <si>
    <t xml:space="preserve">RE-09</t>
  </si>
  <si>
    <t xml:space="preserve">Digital deal jacket from reservation to CTS</t>
  </si>
  <si>
    <t xml:space="preserve">§3.1 A Buyer documents (OCR); H Reservation, buyer portal</t>
  </si>
  <si>
    <t xml:space="preserve">#31, #32, #33, #34, #35, #54</t>
  </si>
  <si>
    <t xml:space="preserve">Checklist per financing scheme enforced at reservation; CTS generated from the confirmed SO (A2); notarization batch tracking; reservation-to-CTS SLA dashboard.</t>
  </si>
  <si>
    <t xml:space="preserve">A2</t>
  </si>
  <si>
    <t xml:space="preserve">Buyer document checklist per financing scheme enforced at reservation; CTS generated from the sales order.</t>
  </si>
  <si>
    <t xml:space="preserve">Documents still collected in rounds; CTS retyped.</t>
  </si>
  <si>
    <t xml:space="preserve">RE-10</t>
  </si>
  <si>
    <t xml:space="preserve">Electronic collections with automatic bank matching</t>
  </si>
  <si>
    <t xml:space="preserve">§9 bank statement import (CSV/MT940); §3.3 Customer Portal and Customer Loans</t>
  </si>
  <si>
    <t xml:space="preserve">#76, #97</t>
  </si>
  <si>
    <t xml:space="preserve">Configure per-buyer payment references and bank-file reconciliation models that match receipts to the buyer ledger, issue the invoice on posting, and queue exceptions. Item #76 becomes proof-of-payment upload plus bank-reference matching — no gateway.</t>
  </si>
  <si>
    <t xml:space="preserve">Item #76 delivers proof-of-payment upload and bank-reference matching; payment gateway excluded and #76 man-days adjusted.</t>
  </si>
  <si>
    <t xml:space="preserve">PHI pays for gateway work in #76 that §9 excludes.</t>
  </si>
  <si>
    <t xml:space="preserve">RE-11</t>
  </si>
  <si>
    <t xml:space="preserve">Collections playbook by aging bucket</t>
  </si>
  <si>
    <t xml:space="preserve">§3.1 I Collection &amp; aging; loan restructuring</t>
  </si>
  <si>
    <t xml:space="preserve">#57, #58, #77, #95, #97, #98</t>
  </si>
  <si>
    <t xml:space="preserve">Automate the aging-bucket playbook: officer assignment at 30 days, restructuring offer via the loan restructuring workflow, demand letters (A5) and the Maceda notice clock (A1).</t>
  </si>
  <si>
    <t xml:space="preserve">A1, A5</t>
  </si>
  <si>
    <t xml:space="preserve">Collections workflow includes aging-bucket assignment, demand letters and statutory Maceda timelines.</t>
  </si>
  <si>
    <t xml:space="preserve">Late intervention; avoidable cancellations.</t>
  </si>
  <si>
    <t xml:space="preserve">RE-12</t>
  </si>
  <si>
    <t xml:space="preserve">Same-week cancellation and re-listing</t>
  </si>
  <si>
    <t xml:space="preserve">§3.1 H Reservation lifecycle; commission clawback</t>
  </si>
  <si>
    <t xml:space="preserve">#36, #43</t>
  </si>
  <si>
    <t xml:space="preserve">On top of the Maceda workflow (A1): mandatory cancellation reason codes, automatic re-pricing and re-listing on the effective date.</t>
  </si>
  <si>
    <t xml:space="preserve">A1</t>
  </si>
  <si>
    <t xml:space="preserve">Cancellation workflow captures reason codes and re-lists the lot automatically on the effective date.</t>
  </si>
  <si>
    <t xml:space="preserve">Slow inventory recycling; no insight into cancellations.</t>
  </si>
  <si>
    <t xml:space="preserve">RE-13</t>
  </si>
  <si>
    <t xml:space="preserve">Start loan takeout at reservation</t>
  </si>
  <si>
    <t xml:space="preserve">§3.1 I Customer Loans &amp; Financing; B turnover aging</t>
  </si>
  <si>
    <t xml:space="preserve">#39, #96</t>
  </si>
  <si>
    <t xml:space="preserve">On top of the takeout tracker (A4): pre-qualification captured at reservation, loan document pack collected during the equity period, weekly pipeline view with lender SLAs.</t>
  </si>
  <si>
    <t xml:space="preserve">A4</t>
  </si>
  <si>
    <t xml:space="preserve">Takeout tracker starts at reservation, with pre-qualification status and lender SLA monitoring.</t>
  </si>
  <si>
    <t xml:space="preserve">Financing failures found late; cash inflow delayed.</t>
  </si>
  <si>
    <t xml:space="preserve">RE-14</t>
  </si>
  <si>
    <t xml:space="preserve">Hands-off commission cycle</t>
  </si>
  <si>
    <t xml:space="preserve">§3.1 A, E Commissions; broker portal</t>
  </si>
  <si>
    <t xml:space="preserve">#41, #42, #43, #44, #45, #46, #47, #53</t>
  </si>
  <si>
    <t xml:space="preserve">Configure as scoped; require broker invoice upload before payout.</t>
  </si>
  <si>
    <t xml:space="preserve">Manual workarounds persist if PHI doesn't adopt the engine.</t>
  </si>
  <si>
    <t xml:space="preserve">RE-15</t>
  </si>
  <si>
    <t xml:space="preserve">No PO, no pay — with scheduled payment runs</t>
  </si>
  <si>
    <t xml:space="preserve">§3.1 F Supplier &amp; payments</t>
  </si>
  <si>
    <t xml:space="preserve">#45, #59</t>
  </si>
  <si>
    <t xml:space="preserve">Enforce PO-required with an exemptions list, three-way match tolerances, scheduled payment batches and automatic 2307 emails.</t>
  </si>
  <si>
    <t xml:space="preserve">A9</t>
  </si>
  <si>
    <t xml:space="preserve">PO required for non-exempt spend; payment runs batched and approved per DOA.</t>
  </si>
  <si>
    <t xml:space="preserve">Bills without POs continue; duplicate risk.</t>
  </si>
  <si>
    <t xml:space="preserve">RE-16</t>
  </si>
  <si>
    <t xml:space="preserve">Independent vendor master with bank-change verification</t>
  </si>
  <si>
    <t xml:space="preserve">§3.1 F Supplier accreditation</t>
  </si>
  <si>
    <t xml:space="preserve">Add a bank-detail change workflow with callback verification and second approval; block duplicate TINs; remove bank-edit rights from AP users.</t>
  </si>
  <si>
    <t xml:space="preserve">Vendor bank-detail changes require verification and a second approval.</t>
  </si>
  <si>
    <t xml:space="preserve">Payment-fraud exposure remains.</t>
  </si>
  <si>
    <t xml:space="preserve">RE-17</t>
  </si>
  <si>
    <t xml:space="preserve">TORC paid directly, recharged automatically</t>
  </si>
  <si>
    <t xml:space="preserve">§3.1 F Project payments (TORC); G TORC budget</t>
  </si>
  <si>
    <t xml:space="preserve">Compute TORC per lot from deed values, pay agencies directly through AP, post recharges to the buyer ledger automatically, and block new advances while a liquidation is overdue.</t>
  </si>
  <si>
    <t xml:space="preserve">B1</t>
  </si>
  <si>
    <t xml:space="preserve">TORC means taxes and other related charges on title transfer, including buyer recharges.</t>
  </si>
  <si>
    <t xml:space="preserve">Scope mismatch on TORC; advances and missed recharges continue.</t>
  </si>
  <si>
    <t xml:space="preserve">RE-18</t>
  </si>
  <si>
    <t xml:space="preserve">One handover pipeline from RFO to title</t>
  </si>
  <si>
    <t xml:space="preserve">§3.1 A Title status; turnover and helpdesk</t>
  </si>
  <si>
    <t xml:space="preserve">#29, #72, #79, #81, #82, #83, #84, #85</t>
  </si>
  <si>
    <t xml:space="preserve">One handover pipeline from ready-for-occupancy to title delivery with stage SLAs, batch title processing per phase, and a title custody log — on top of title processing (A10).</t>
  </si>
  <si>
    <t xml:space="preserve">A10</t>
  </si>
  <si>
    <t xml:space="preserve">Handover pipeline covers turnover through title delivery with SLAs and custody log.</t>
  </si>
  <si>
    <t xml:space="preserve">Separate trackers; buyers keep calling for status.</t>
  </si>
  <si>
    <t xml:space="preserve">RE-19</t>
  </si>
  <si>
    <t xml:space="preserve">Automated monthly revenue recognition</t>
  </si>
  <si>
    <t xml:space="preserve">§3.1 G Project P&amp;L</t>
  </si>
  <si>
    <t xml:space="preserve">Use the verified progress from RE-07 as the input to POC revenue (A3).</t>
  </si>
  <si>
    <t xml:space="preserve">A3</t>
  </si>
  <si>
    <t xml:space="preserve">POC revenue uses verified construction progress as its input.</t>
  </si>
  <si>
    <t xml:space="preserve">Revenue computed off-system; audit adjustments.</t>
  </si>
  <si>
    <t xml:space="preserve">RE-20</t>
  </si>
  <si>
    <t xml:space="preserve">Fast close and one management pack</t>
  </si>
  <si>
    <t xml:space="preserve">§3.1 G Company performance report, Finance BI; §3.4 multi-company</t>
  </si>
  <si>
    <t xml:space="preserve">#88</t>
  </si>
  <si>
    <t xml:space="preserve">Configure close checklist and lock dates, intercompany matching across Group entities, and a standard management pack built on PHI's KPI dictionary.</t>
  </si>
  <si>
    <t xml:space="preserve">Month-end close checklist, intercompany matching and a standard management pack are delivered.</t>
  </si>
  <si>
    <t xml:space="preserve">Close remains manual; figures differ across reports.</t>
  </si>
  <si>
    <t xml:space="preserve">RE-21</t>
  </si>
  <si>
    <t xml:space="preserve">Rolling 13-week cash forecast</t>
  </si>
  <si>
    <t xml:space="preserve">§3.1 G Cash-flow projections; §3.3 Company Loans</t>
  </si>
  <si>
    <t xml:space="preserve">#100</t>
  </si>
  <si>
    <t xml:space="preserve">Build a weekly 13-week cash forecast from collection, takeout, AP and loan schedules (A13).</t>
  </si>
  <si>
    <t xml:space="preserve">A13</t>
  </si>
  <si>
    <t xml:space="preserve">13-week cash forecast refreshed weekly from system schedules.</t>
  </si>
  <si>
    <t xml:space="preserve">Treasury works from stale projections.</t>
  </si>
  <si>
    <t xml:space="preserve">RE-22</t>
  </si>
  <si>
    <t xml:space="preserve">Data ownership and clean-up before migration</t>
  </si>
  <si>
    <t xml:space="preserve">§3.4 Data migration; §7 CSV Rule; §10.3 Data Migration flex</t>
  </si>
  <si>
    <t xml:space="preserve">No AWB effort. Clean data before migration reduces remediation drawn from the Data Migration flex allocation.</t>
  </si>
  <si>
    <t xml:space="preserve">Phase 4 – Migration &amp; SIT (wk 13–16)</t>
  </si>
  <si>
    <t xml:space="preserve">Now — before Phase 4 mock loads</t>
  </si>
  <si>
    <t xml:space="preserve">Data Migration</t>
  </si>
  <si>
    <t xml:space="preserve">Remediation drawn from flex at PHP 12,000 per man-day; go-live risk.</t>
  </si>
  <si>
    <t xml:space="preserve">RE-23</t>
  </si>
  <si>
    <t xml:space="preserve">Named process owners with KPIs</t>
  </si>
  <si>
    <t xml:space="preserve">None</t>
  </si>
  <si>
    <t xml:space="preserve">No AWB effort. Process owners and KPI reviews are PHI governance.</t>
  </si>
  <si>
    <t xml:space="preserve">No AWB build</t>
  </si>
  <si>
    <t xml:space="preserve">PHI governance — now</t>
  </si>
  <si>
    <t xml:space="preserve">Improvements fade after go-live.</t>
  </si>
  <si>
    <t xml:space="preserve">Dev-days of affected items counts an item once per opportunity that touches it, so the total double counts shared items. Extra effort excludes work already requested in Appendix A.</t>
  </si>
  <si>
    <t xml:space="preserve">SOW §3.3 items — which re-engineering touches each one</t>
  </si>
  <si>
    <t xml:space="preserve">Change type: Unchanged · Configure as scoped · Design change at BRD · Extend · Consolidate · Clarify / reduce.</t>
  </si>
  <si>
    <t xml:space="preserve">#</t>
  </si>
  <si>
    <t xml:space="preserve">Section</t>
  </si>
  <si>
    <t xml:space="preserve">Feature</t>
  </si>
  <si>
    <t xml:space="preserve">Dev man-days (SOW)</t>
  </si>
  <si>
    <t xml:space="preserve">Re-engineering items</t>
  </si>
  <si>
    <t xml:space="preserve">Change type</t>
  </si>
  <si>
    <t xml:space="preserve">Note for BRD</t>
  </si>
  <si>
    <t xml:space="preserve">Dashboard</t>
  </si>
  <si>
    <t xml:space="preserve">Acquisition KPI Cards</t>
  </si>
  <si>
    <t xml:space="preserve">Unchanged</t>
  </si>
  <si>
    <t xml:space="preserve">Attention Required List</t>
  </si>
  <si>
    <t xml:space="preserve">Project Progress Bars</t>
  </si>
  <si>
    <t xml:space="preserve">Quick Navigation</t>
  </si>
  <si>
    <t xml:space="preserve">Lot Inventory</t>
  </si>
  <si>
    <t xml:space="preserve">Project</t>
  </si>
  <si>
    <t xml:space="preserve">Projects &amp; Pipeline</t>
  </si>
  <si>
    <t xml:space="preserve">Project Consolidated View</t>
  </si>
  <si>
    <t xml:space="preserve">Design change at BRD</t>
  </si>
  <si>
    <t xml:space="preserve">Project Search &amp; Filters</t>
  </si>
  <si>
    <t xml:space="preserve">Project Setup Wizard</t>
  </si>
  <si>
    <t xml:space="preserve">Step 2 - Site Details</t>
  </si>
  <si>
    <t xml:space="preserve">Extend</t>
  </si>
  <si>
    <t xml:space="preserve">Step 3 - Targets</t>
  </si>
  <si>
    <t xml:space="preserve">Step 4 - Team Assignment</t>
  </si>
  <si>
    <t xml:space="preserve">Step 5 - Milestone Template</t>
  </si>
  <si>
    <t xml:space="preserve">Step 6 - Documents</t>
  </si>
  <si>
    <t xml:space="preserve">Step 7 - Review &amp; Launch</t>
  </si>
  <si>
    <t xml:space="preserve">Sample Form Previews</t>
  </si>
  <si>
    <t xml:space="preserve">Lot Onboarding Form</t>
  </si>
  <si>
    <t xml:space="preserve">Lot Master Data</t>
  </si>
  <si>
    <t xml:space="preserve">Pricing &amp; Source</t>
  </si>
  <si>
    <t xml:space="preserve">Seller/Owner Details</t>
  </si>
  <si>
    <t xml:space="preserve">Attachments Checklist</t>
  </si>
  <si>
    <t xml:space="preserve">Auto Due-Diligence Checklist</t>
  </si>
  <si>
    <t xml:space="preserve">Approval Route</t>
  </si>
  <si>
    <t xml:space="preserve">RE-02, RE-03</t>
  </si>
  <si>
    <t xml:space="preserve">Bulk Lot Onboarding Wizard</t>
  </si>
  <si>
    <t xml:space="preserve">Acquisition &amp; Payments (Multi-Owner)</t>
  </si>
  <si>
    <t xml:space="preserve">Multi-Owner Land Sources</t>
  </si>
  <si>
    <t xml:space="preserve">Per-Owner Milestone Schedule</t>
  </si>
  <si>
    <t xml:space="preserve">Auto-Drafted Deed of Absolute Sale</t>
  </si>
  <si>
    <t xml:space="preserve">BIR / LGU Filing Tracker</t>
  </si>
  <si>
    <t xml:space="preserve">Lot Detail &amp; Lifecycle</t>
  </si>
  <si>
    <t xml:space="preserve">Lot Lock / Reusable Pill</t>
  </si>
  <si>
    <t xml:space="preserve">Locked Ribbon &amp; Kanban Lock Icons</t>
  </si>
  <si>
    <t xml:space="preserve">Title Tab</t>
  </si>
  <si>
    <t xml:space="preserve">RE-04, RE-18</t>
  </si>
  <si>
    <t xml:space="preserve">DD / Milestones / Construction Tabs</t>
  </si>
  <si>
    <t xml:space="preserve">CRM → Reservation → Sales Order</t>
  </si>
  <si>
    <t xml:space="preserve">Lot Interest &amp; Availability Browser</t>
  </si>
  <si>
    <t xml:space="preserve">Reserve Lot from Opportunity</t>
  </si>
  <si>
    <t xml:space="preserve">Soft-Hold with Expiry (Reservation)</t>
  </si>
  <si>
    <t xml:space="preserve">RE-05, RE-09</t>
  </si>
  <si>
    <t xml:space="preserve">Add LTS block</t>
  </si>
  <si>
    <t xml:space="preserve">Reservation blocked when DP or License to Sell missing (RE-05).</t>
  </si>
  <si>
    <t xml:space="preserve">Reservation Fee Payment &amp; Receipt</t>
  </si>
  <si>
    <t xml:space="preserve">Opportunity Won → Auto-Create Sales Order</t>
  </si>
  <si>
    <t xml:space="preserve">SO Confirm / Lot Lock Flow</t>
  </si>
  <si>
    <t xml:space="preserve">Launch-Readiness Gate on SO Confirm</t>
  </si>
  <si>
    <t xml:space="preserve">Change gate point to reservation</t>
  </si>
  <si>
    <t xml:space="preserve">Gate must block reservation, not only SO confirmation (RE-05).</t>
  </si>
  <si>
    <t xml:space="preserve">Double-Sell / Double-Reserve Constraint</t>
  </si>
  <si>
    <t xml:space="preserve">Customer Payment Schedule Generator</t>
  </si>
  <si>
    <t xml:space="preserve">Broker Commission</t>
  </si>
  <si>
    <t xml:space="preserve">Broker / Agent Master Record</t>
  </si>
  <si>
    <t xml:space="preserve">Commission Plan Setup</t>
  </si>
  <si>
    <t xml:space="preserve">Configure as scoped</t>
  </si>
  <si>
    <t xml:space="preserve">Commission Tagging on Reservation / SO</t>
  </si>
  <si>
    <t xml:space="preserve">Commission Computation Engine</t>
  </si>
  <si>
    <t xml:space="preserve">RE-12, RE-14</t>
  </si>
  <si>
    <t xml:space="preserve">Commission Release / Vesting Rules</t>
  </si>
  <si>
    <t xml:space="preserve">Commission Voucher &amp; Payout</t>
  </si>
  <si>
    <t xml:space="preserve">RE-02, RE-14, RE-15</t>
  </si>
  <si>
    <t xml:space="preserve">Broker Commission Statement</t>
  </si>
  <si>
    <t xml:space="preserve">Commission Audit &amp; Disputes</t>
  </si>
  <si>
    <t xml:space="preserve">Broker Portal</t>
  </si>
  <si>
    <t xml:space="preserve">Broker Portal Login &amp; Access</t>
  </si>
  <si>
    <t xml:space="preserve">My Listings &amp; Lot Availability</t>
  </si>
  <si>
    <t xml:space="preserve">Register Lead / Buyer Referral</t>
  </si>
  <si>
    <t xml:space="preserve">Reservation Request via Portal</t>
  </si>
  <si>
    <t xml:space="preserve">Deal Status Tracker</t>
  </si>
  <si>
    <t xml:space="preserve">Commission Visibility</t>
  </si>
  <si>
    <t xml:space="preserve">Document Upload</t>
  </si>
  <si>
    <t xml:space="preserve">Portal Notifications</t>
  </si>
  <si>
    <t xml:space="preserve">Payment Milestones &amp; Reminders</t>
  </si>
  <si>
    <t xml:space="preserve">Milestone Templates</t>
  </si>
  <si>
    <t xml:space="preserve">Lot Milestones</t>
  </si>
  <si>
    <t xml:space="preserve">Automated Payment Reminders</t>
  </si>
  <si>
    <t xml:space="preserve">Invoice Generation from Milestones</t>
  </si>
  <si>
    <t xml:space="preserve">Approvals &amp; Documents</t>
  </si>
  <si>
    <t xml:space="preserve">Milestone Release Approvals</t>
  </si>
  <si>
    <t xml:space="preserve">RE-02, RE-04</t>
  </si>
  <si>
    <t xml:space="preserve">Central Document Repository</t>
  </si>
  <si>
    <t xml:space="preserve">Project Approval Workflow</t>
  </si>
  <si>
    <t xml:space="preserve">Consolidate into DOA engine</t>
  </si>
  <si>
    <t xml:space="preserve">Replace with the single DOA engine (RE-02); negotiate effort offset.</t>
  </si>
  <si>
    <t xml:space="preserve">Lot Approval Workflow</t>
  </si>
  <si>
    <t xml:space="preserve">Broker Approval Workflow</t>
  </si>
  <si>
    <t xml:space="preserve">Audit Logs</t>
  </si>
  <si>
    <t xml:space="preserve">Construction Monitoring</t>
  </si>
  <si>
    <t xml:space="preserve">Progress Photo Gallery</t>
  </si>
  <si>
    <t xml:space="preserve">Cluster Health Board</t>
  </si>
  <si>
    <t xml:space="preserve">Cluster Alert Cron</t>
  </si>
  <si>
    <t xml:space="preserve">Construction % to Stage</t>
  </si>
  <si>
    <t xml:space="preserve">Launch Readiness &amp; Turnover</t>
  </si>
  <si>
    <t xml:space="preserve">5-Criteria Launch Readiness Gate</t>
  </si>
  <si>
    <t xml:space="preserve">Pre-Turnover Inspection Checklist</t>
  </si>
  <si>
    <t xml:space="preserve">Turnover Inspection &amp; Dual Signatures</t>
  </si>
  <si>
    <t xml:space="preserve">CRM / Saleable Unit Hand-off</t>
  </si>
  <si>
    <t xml:space="preserve">Customer Portal</t>
  </si>
  <si>
    <t xml:space="preserve">My Lots &amp; Purchase Summary</t>
  </si>
  <si>
    <t xml:space="preserve">Payment Schedule &amp; Balance</t>
  </si>
  <si>
    <t xml:space="preserve">Online Payment / Payment Submission</t>
  </si>
  <si>
    <t xml:space="preserve">Clarify / reduce (no gateway)</t>
  </si>
  <si>
    <t xml:space="preserve">Gateway is out of scope per §9; deliver proof-of-payment and bank-reference matching (RE-10).</t>
  </si>
  <si>
    <t xml:space="preserve">Payment Reminders &amp; Receipts</t>
  </si>
  <si>
    <t xml:space="preserve">Document Access</t>
  </si>
  <si>
    <t xml:space="preserve">Turnover &amp; Move-In Status</t>
  </si>
  <si>
    <t xml:space="preserve">Profile &amp; Contact Management</t>
  </si>
  <si>
    <t xml:space="preserve">Helpdesk</t>
  </si>
  <si>
    <t xml:space="preserve">Ticket Intake Channels</t>
  </si>
  <si>
    <t xml:space="preserve">Ticket Categories &amp; SLA</t>
  </si>
  <si>
    <t xml:space="preserve">Ticket Assignment &amp; Routing</t>
  </si>
  <si>
    <t xml:space="preserve">Ticket Workbench</t>
  </si>
  <si>
    <t xml:space="preserve">Defect / Punch-List Tickets</t>
  </si>
  <si>
    <t xml:space="preserve">Reporting &amp; BI</t>
  </si>
  <si>
    <t xml:space="preserve">Cost vs Paid Analysis</t>
  </si>
  <si>
    <t xml:space="preserve">Milestone Aging Report</t>
  </si>
  <si>
    <t xml:space="preserve">Summary Reports (PDF/XLSX)</t>
  </si>
  <si>
    <t xml:space="preserve">Audit / Status Reports</t>
  </si>
  <si>
    <t xml:space="preserve">Customer (BI and Report)</t>
  </si>
  <si>
    <t xml:space="preserve">Broker (BI and Report)</t>
  </si>
  <si>
    <t xml:space="preserve">Configuration &amp; Settings</t>
  </si>
  <si>
    <t xml:space="preserve">Reminder Offsets</t>
  </si>
  <si>
    <t xml:space="preserve">Cluster Thresholds</t>
  </si>
  <si>
    <t xml:space="preserve">SO Gating Toggle</t>
  </si>
  <si>
    <t xml:space="preserve">Grace Period</t>
  </si>
  <si>
    <t xml:space="preserve">Customer Loans</t>
  </si>
  <si>
    <t xml:space="preserve">Customer Loan Configuration</t>
  </si>
  <si>
    <t xml:space="preserve">Automated Customer Loan Payment Processing</t>
  </si>
  <si>
    <t xml:space="preserve">RE-10, RE-11</t>
  </si>
  <si>
    <t xml:space="preserve">Customer Payment Schedule List View</t>
  </si>
  <si>
    <t xml:space="preserve">Company Loans</t>
  </si>
  <si>
    <t xml:space="preserve">Automated Company Loan Payment Processing</t>
  </si>
  <si>
    <t xml:space="preserve">Company Loan Schedule List View</t>
  </si>
  <si>
    <t xml:space="preserve">By change type</t>
  </si>
  <si>
    <t xml:space="preserve">Items</t>
  </si>
  <si>
    <t xml:space="preserve">Dev-days (SOW)</t>
  </si>
  <si>
    <t xml:space="preserve">When each re-engineering decision lands in the SOW timeline</t>
  </si>
  <si>
    <t xml:space="preserve">Decisions must be in the BRD before Phase 1 ends; build happens in the SOW wave for the affected module.</t>
  </si>
  <si>
    <t xml:space="preserve">SOW phase</t>
  </si>
  <si>
    <t xml:space="preserve">Weeks</t>
  </si>
  <si>
    <t xml:space="preserve">Re-engineering items built or loaded here</t>
  </si>
  <si>
    <t xml:space="preserve">What PHI must have ready</t>
  </si>
  <si>
    <t xml:space="preserve">1–4</t>
  </si>
  <si>
    <t xml:space="preserve">Decisions for all items; cost-code structure (RE-06)</t>
  </si>
  <si>
    <t xml:space="preserve">Board-approved DOA matrix, Group cost codes, pricing policy, collections playbook, TORC definition, KPI dictionary</t>
  </si>
  <si>
    <t xml:space="preserve">5–10</t>
  </si>
  <si>
    <t xml:space="preserve">RE-02 One digital Delegation of Authority matrix, RE-03 Two-stage land due diligence with deal scorecard, RE-04 Evidence-based land payments and filing calendar, RE-05 Project templates and a hard License-to-Sell gate, RE-08 Pricing governance and a single price source, RE-09 Digital deal jacket from reservation to CTS, RE-12 Same-week cancellation and re-listing, RE-14 Hands-off commission cycle</t>
  </si>
  <si>
    <t xml:space="preserve">BRD-signed specifications for land, inventory, reservation and sales changes</t>
  </si>
  <si>
    <t xml:space="preserve">9–14</t>
  </si>
  <si>
    <t xml:space="preserve">RE-01 Driver-based budget with commitment control, RE-07 Measure construction progress once, use it three times, RE-10 Electronic collections with automatic bank matching, RE-11 Collections playbook by aging bucket, RE-13 Start loan takeout at reservation, RE-15 No PO, no pay — with scheduled payment runs, RE-16 Independent vendor master with bank-change verification, RE-17 TORC paid directly, recharged automatically, RE-18 One handover pipeline from RFO to title, RE-19 Automated monthly revenue recognition, RE-20 Fast close and one management pack, RE-21 Rolling 13-week cash forecast</t>
  </si>
  <si>
    <t xml:space="preserve">Specifications for construction, supplier, finance and customer-servicing changes; auditor-agreed POC method</t>
  </si>
  <si>
    <t xml:space="preserve">13–16</t>
  </si>
  <si>
    <t xml:space="preserve">RE-22 Data ownership and clean-up before migration</t>
  </si>
  <si>
    <t xml:space="preserve">Cleansed legacy data passing mock loads; reconciled opening balances</t>
  </si>
  <si>
    <t xml:space="preserve">Phase 5 – UAT &amp; Training (wk 16–18)</t>
  </si>
  <si>
    <t xml:space="preserve">16–18</t>
  </si>
  <si>
    <t xml:space="preserve">All items tested in UAT scripts</t>
  </si>
  <si>
    <t xml:space="preserve">Process owners test the re-engineered flows, not the old ones</t>
  </si>
  <si>
    <t xml:space="preserve">RE-23 Named process owners with KPIs</t>
  </si>
  <si>
    <t xml:space="preserve">Process owners and KPI review cycle (PHI governance)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</si>
</sst>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General"/>
    <numFmt numFmtId="167" formatCode="0.0"/>
    <numFmt numFmtId="168" formatCode="0.00"/>
    <numFmt numFmtId="169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1D4A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0F1D4A"/>
      <name val="Arial"/>
      <family val="0"/>
      <charset val="1"/>
    </font>
    <font>
      <i val="true"/>
      <sz val="9"/>
      <color rgb="FF44507A"/>
      <name val="Arial"/>
      <family val="0"/>
      <charset val="1"/>
    </font>
    <font>
      <b val="true"/>
      <sz val="12"/>
      <color rgb="FF0F1D4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2A8"/>
        <bgColor rgb="FFFFF2CC"/>
      </patternFill>
    </fill>
    <fill>
      <patternFill patternType="solid">
        <fgColor rgb="FF0F1D4A"/>
        <bgColor rgb="FF333333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FFFFF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D0E4"/>
      </left>
      <right style="thin">
        <color rgb="FFC7D0E4"/>
      </right>
      <top style="thin">
        <color rgb="FFC7D0E4"/>
      </top>
      <bottom style="thin">
        <color rgb="FFC7D0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0F1D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2A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7D0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2A8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D4A"/>
      <rgbColor rgb="FF339966"/>
      <rgbColor rgb="FF003300"/>
      <rgbColor rgb="FF333300"/>
      <rgbColor rgb="FF993300"/>
      <rgbColor rgb="FF993366"/>
      <rgbColor rgb="FF4450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EtoSOW" displayName="REtoSOW" ref="A4:U27" headerRowCount="1" totalsRowCount="0" totalsRowShown="0">
  <autoFilter ref="A4:U27"/>
  <tableColumns count="21">
    <tableColumn id="1" name="ID"/>
    <tableColumn id="2" name="Opportunity"/>
    <tableColumn id="3" name="SOW sections affected"/>
    <tableColumn id="4" name="SOW §3.3 items affected"/>
    <tableColumn id="5" name="Items (count)"/>
    <tableColumn id="6" name="Dev-days of affected items (SOW)"/>
    <tableColumn id="7" name="Impact on SOW"/>
    <tableColumn id="8" name="What AWB must build or configure differently"/>
    <tableColumn id="9" name="Linked Appendix item"/>
    <tableColumn id="10" name="Extra effort low (md)"/>
    <tableColumn id="11" name="Extra effort high (md)"/>
    <tableColumn id="12" name="Possible offset low (md)"/>
    <tableColumn id="13" name="Possible offset high (md)"/>
    <tableColumn id="14" name="SOW phase where built"/>
    <tableColumn id="15" name="Decide by"/>
    <tableColumn id="16" name="Suggested SOW / BRD wording"/>
    <tableColumn id="17" name="Flex category if not in base"/>
    <tableColumn id="18" name="Risk if not addressed"/>
    <tableColumn id="19" name="AWB estimate (md)"/>
    <tableColumn id="20" name="Agreed treatment"/>
    <tableColumn id="21" name="Status"/>
  </tableColumns>
</table>
</file>

<file path=xl/tables/table2.xml><?xml version="1.0" encoding="utf-8"?>
<table xmlns="http://schemas.openxmlformats.org/spreadsheetml/2006/main" id="2" name="SOWItemImpact" displayName="SOWItemImpact" ref="A4:G104" headerRowCount="1" totalsRowCount="0" totalsRowShown="0">
  <autoFilter ref="A4:G104"/>
  <tableColumns count="7">
    <tableColumn id="1" name="#"/>
    <tableColumn id="2" name="Section"/>
    <tableColumn id="3" name="Feature"/>
    <tableColumn id="4" name="Dev man-days (SOW)"/>
    <tableColumn id="5" name="Re-engineering items"/>
    <tableColumn id="6" name="Change type"/>
    <tableColumn id="7" name="Note for BR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5"/>
  </cols>
  <sheetData>
    <row r="1" customFormat="false" ht="19.7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23.85" hidden="false" customHeight="false" outlineLevel="0" collapsed="false">
      <c r="A4" s="2" t="s">
        <v>3</v>
      </c>
      <c r="B4" s="3" t="s">
        <v>4</v>
      </c>
    </row>
    <row r="5" customFormat="false" ht="35.05" hidden="false" customHeight="false" outlineLevel="0" collapsed="false">
      <c r="A5" s="2" t="s">
        <v>5</v>
      </c>
      <c r="B5" s="3" t="s">
        <v>6</v>
      </c>
    </row>
    <row r="6" customFormat="false" ht="23.85" hidden="false" customHeight="false" outlineLevel="0" collapsed="false">
      <c r="A6" s="2" t="s">
        <v>7</v>
      </c>
      <c r="B6" s="3" t="s">
        <v>8</v>
      </c>
    </row>
    <row r="7" customFormat="false" ht="23.85" hidden="false" customHeight="false" outlineLevel="0" collapsed="false">
      <c r="A7" s="2" t="s">
        <v>9</v>
      </c>
      <c r="B7" s="3" t="s">
        <v>10</v>
      </c>
    </row>
    <row r="8" customFormat="false" ht="15" hidden="false" customHeight="false" outlineLevel="0" collapsed="false">
      <c r="A8" s="2" t="s">
        <v>11</v>
      </c>
      <c r="B8" s="3" t="s">
        <v>12</v>
      </c>
    </row>
    <row r="9" customFormat="false" ht="23.85" hidden="false" customHeight="false" outlineLevel="0" collapsed="false">
      <c r="A9" s="2" t="s">
        <v>13</v>
      </c>
      <c r="B9" s="3" t="s">
        <v>14</v>
      </c>
    </row>
    <row r="10" customFormat="false" ht="15" hidden="false" customHeight="false" outlineLevel="0" collapsed="false">
      <c r="A10" s="4" t="s">
        <v>15</v>
      </c>
      <c r="B10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4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5" t="s">
        <v>17</v>
      </c>
    </row>
    <row r="2" customFormat="false" ht="15" hidden="false" customHeight="false" outlineLevel="0" collapsed="false">
      <c r="A2" s="6" t="s">
        <v>18</v>
      </c>
    </row>
    <row r="4" customFormat="false" ht="15" hidden="false" customHeight="false" outlineLevel="0" collapsed="false">
      <c r="A4" s="7" t="s">
        <v>19</v>
      </c>
    </row>
    <row r="5" customFormat="false" ht="15" hidden="false" customHeight="false" outlineLevel="0" collapsed="false">
      <c r="A5" s="0" t="s">
        <v>20</v>
      </c>
      <c r="B5" s="8" t="n">
        <v>10000</v>
      </c>
    </row>
    <row r="6" customFormat="false" ht="15" hidden="false" customHeight="false" outlineLevel="0" collapsed="false">
      <c r="A6" s="0" t="s">
        <v>21</v>
      </c>
      <c r="B6" s="8" t="n">
        <v>12000</v>
      </c>
    </row>
    <row r="8" customFormat="false" ht="15" hidden="false" customHeight="false" outlineLevel="0" collapsed="false">
      <c r="A8" s="7" t="s">
        <v>22</v>
      </c>
    </row>
    <row r="9" customFormat="false" ht="23.85" hidden="false" customHeight="false" outlineLevel="0" collapsed="false">
      <c r="A9" s="9" t="s">
        <v>23</v>
      </c>
      <c r="B9" s="9" t="s">
        <v>24</v>
      </c>
      <c r="C9" s="9" t="s">
        <v>25</v>
      </c>
      <c r="D9" s="9" t="s">
        <v>26</v>
      </c>
    </row>
    <row r="10" customFormat="false" ht="15" hidden="false" customHeight="false" outlineLevel="0" collapsed="false">
      <c r="A10" s="10" t="s">
        <v>27</v>
      </c>
      <c r="B10" s="11" t="n">
        <f aca="false">COUNTIF('RE to SOW Impact'!$G$5:$G$27,A10)</f>
        <v>2</v>
      </c>
      <c r="C10" s="11" t="n">
        <f aca="false">SUMIF('RE to SOW Impact'!$G$5:$G$27,A10,'RE to SOW Impact'!$J$5:$J$27)</f>
        <v>0</v>
      </c>
      <c r="D10" s="11" t="n">
        <f aca="false">SUMIF('RE to SOW Impact'!$G$5:$G$27,A10,'RE to SOW Impact'!$K$5:$K$27)</f>
        <v>2</v>
      </c>
    </row>
    <row r="11" customFormat="false" ht="15" hidden="false" customHeight="false" outlineLevel="0" collapsed="false">
      <c r="A11" s="12" t="s">
        <v>28</v>
      </c>
      <c r="B11" s="11" t="n">
        <f aca="false">COUNTIF('RE to SOW Impact'!$G$5:$G$27,A11)</f>
        <v>6</v>
      </c>
      <c r="C11" s="11" t="n">
        <f aca="false">SUMIF('RE to SOW Impact'!$G$5:$G$27,A11,'RE to SOW Impact'!$J$5:$J$27)</f>
        <v>9</v>
      </c>
      <c r="D11" s="11" t="n">
        <f aca="false">SUMIF('RE to SOW Impact'!$G$5:$G$27,A11,'RE to SOW Impact'!$K$5:$K$27)</f>
        <v>18</v>
      </c>
    </row>
    <row r="12" customFormat="false" ht="15" hidden="false" customHeight="false" outlineLevel="0" collapsed="false">
      <c r="A12" s="13" t="s">
        <v>29</v>
      </c>
      <c r="B12" s="11" t="n">
        <f aca="false">COUNTIF('RE to SOW Impact'!$G$5:$G$27,A12)</f>
        <v>4</v>
      </c>
      <c r="C12" s="11" t="n">
        <f aca="false">SUMIF('RE to SOW Impact'!$G$5:$G$27,A12,'RE to SOW Impact'!$J$5:$J$27)</f>
        <v>12</v>
      </c>
      <c r="D12" s="11" t="n">
        <f aca="false">SUMIF('RE to SOW Impact'!$G$5:$G$27,A12,'RE to SOW Impact'!$K$5:$K$27)</f>
        <v>24</v>
      </c>
    </row>
    <row r="13" customFormat="false" ht="15" hidden="false" customHeight="false" outlineLevel="0" collapsed="false">
      <c r="A13" s="14" t="s">
        <v>30</v>
      </c>
      <c r="B13" s="11" t="n">
        <f aca="false">COUNTIF('RE to SOW Impact'!$G$5:$G$27,A13)</f>
        <v>8</v>
      </c>
      <c r="C13" s="11" t="n">
        <f aca="false">SUMIF('RE to SOW Impact'!$G$5:$G$27,A13,'RE to SOW Impact'!$J$5:$J$27)</f>
        <v>14</v>
      </c>
      <c r="D13" s="11" t="n">
        <f aca="false">SUMIF('RE to SOW Impact'!$G$5:$G$27,A13,'RE to SOW Impact'!$K$5:$K$27)</f>
        <v>28</v>
      </c>
    </row>
    <row r="14" customFormat="false" ht="15" hidden="false" customHeight="false" outlineLevel="0" collapsed="false">
      <c r="A14" s="15" t="s">
        <v>31</v>
      </c>
      <c r="B14" s="11" t="n">
        <f aca="false">COUNTIF('RE to SOW Impact'!$G$5:$G$27,A14)</f>
        <v>3</v>
      </c>
      <c r="C14" s="11" t="n">
        <f aca="false">SUMIF('RE to SOW Impact'!$G$5:$G$27,A14,'RE to SOW Impact'!$J$5:$J$27)</f>
        <v>0</v>
      </c>
      <c r="D14" s="11" t="n">
        <f aca="false">SUMIF('RE to SOW Impact'!$G$5:$G$27,A14,'RE to SOW Impact'!$K$5:$K$27)</f>
        <v>1</v>
      </c>
    </row>
    <row r="15" customFormat="false" ht="15" hidden="false" customHeight="false" outlineLevel="0" collapsed="false">
      <c r="A15" s="2" t="s">
        <v>32</v>
      </c>
      <c r="B15" s="16" t="n">
        <f aca="false">SUM(B10:B14)</f>
        <v>23</v>
      </c>
      <c r="C15" s="16" t="n">
        <f aca="false">SUM(C10:C14)</f>
        <v>35</v>
      </c>
      <c r="D15" s="16" t="n">
        <f aca="false">SUM(D10:D14)</f>
        <v>73</v>
      </c>
    </row>
    <row r="17" customFormat="false" ht="15" hidden="false" customHeight="false" outlineLevel="0" collapsed="false">
      <c r="A17" s="7" t="s">
        <v>33</v>
      </c>
    </row>
    <row r="18" customFormat="false" ht="15" hidden="false" customHeight="false" outlineLevel="0" collapsed="false">
      <c r="A18" s="9" t="s">
        <v>34</v>
      </c>
      <c r="B18" s="9" t="s">
        <v>35</v>
      </c>
      <c r="C18" s="9" t="s">
        <v>36</v>
      </c>
      <c r="D18" s="9" t="s">
        <v>37</v>
      </c>
    </row>
    <row r="19" customFormat="false" ht="15" hidden="false" customHeight="false" outlineLevel="0" collapsed="false">
      <c r="A19" s="11" t="s">
        <v>38</v>
      </c>
      <c r="B19" s="17" t="n">
        <f aca="false">'RE to SOW Impact'!J28</f>
        <v>35</v>
      </c>
      <c r="C19" s="17" t="n">
        <f aca="false">'RE to SOW Impact'!K28</f>
        <v>73</v>
      </c>
      <c r="D19" s="18" t="s">
        <v>39</v>
      </c>
    </row>
    <row r="20" customFormat="false" ht="15" hidden="false" customHeight="false" outlineLevel="0" collapsed="false">
      <c r="A20" s="11" t="s">
        <v>40</v>
      </c>
      <c r="B20" s="17" t="n">
        <f aca="false">'RE to SOW Impact'!L28</f>
        <v>8</v>
      </c>
      <c r="C20" s="17" t="n">
        <f aca="false">'RE to SOW Impact'!M28</f>
        <v>25.16</v>
      </c>
      <c r="D20" s="18" t="s">
        <v>41</v>
      </c>
    </row>
    <row r="21" customFormat="false" ht="15" hidden="false" customHeight="false" outlineLevel="0" collapsed="false">
      <c r="A21" s="11" t="s">
        <v>42</v>
      </c>
      <c r="B21" s="17" t="n">
        <f aca="false">MAX(0,B19-C20)</f>
        <v>9.84</v>
      </c>
      <c r="C21" s="17" t="n">
        <f aca="false">MAX(0,C19-B20)</f>
        <v>65</v>
      </c>
      <c r="D21" s="18" t="s">
        <v>43</v>
      </c>
    </row>
    <row r="22" customFormat="false" ht="15" hidden="false" customHeight="false" outlineLevel="0" collapsed="false">
      <c r="A22" s="11" t="s">
        <v>44</v>
      </c>
      <c r="B22" s="19" t="n">
        <f aca="false">B21*$B$5</f>
        <v>98400</v>
      </c>
      <c r="C22" s="19" t="n">
        <f aca="false">C21*$B$5</f>
        <v>650000</v>
      </c>
      <c r="D22" s="18" t="s">
        <v>45</v>
      </c>
    </row>
    <row r="23" customFormat="false" ht="15" hidden="false" customHeight="false" outlineLevel="0" collapsed="false">
      <c r="A23" s="11" t="s">
        <v>46</v>
      </c>
      <c r="B23" s="19" t="n">
        <f aca="false">B21*$B$6</f>
        <v>118080</v>
      </c>
      <c r="C23" s="19" t="n">
        <f aca="false">C21*$B$6</f>
        <v>780000</v>
      </c>
      <c r="D23" s="18" t="s">
        <v>47</v>
      </c>
    </row>
    <row r="24" customFormat="false" ht="15" hidden="false" customHeight="false" outlineLevel="0" collapsed="false">
      <c r="A24" s="11" t="s">
        <v>48</v>
      </c>
      <c r="B24" s="19" t="n">
        <f aca="false">B23-B22</f>
        <v>19680</v>
      </c>
      <c r="C24" s="19" t="n">
        <f aca="false">C23-C22</f>
        <v>130000</v>
      </c>
      <c r="D24" s="18" t="s">
        <v>49</v>
      </c>
    </row>
    <row r="26" customFormat="false" ht="15" hidden="false" customHeight="false" outlineLevel="0" collapsed="false">
      <c r="A26" s="7" t="s">
        <v>50</v>
      </c>
    </row>
    <row r="27" customFormat="false" ht="15" hidden="false" customHeight="false" outlineLevel="0" collapsed="false">
      <c r="A27" s="11" t="s">
        <v>51</v>
      </c>
      <c r="B27" s="16" t="n">
        <f aca="false">COUNTIF('SOW Item Impact'!$F$5:$F$104,"&lt;&gt;Unchanged")</f>
        <v>60</v>
      </c>
    </row>
    <row r="28" customFormat="false" ht="15" hidden="false" customHeight="false" outlineLevel="0" collapsed="false">
      <c r="A28" s="11" t="s">
        <v>52</v>
      </c>
      <c r="B28" s="20" t="n">
        <f aca="false">SUMIF('SOW Item Impact'!$F$5:$F$104,"&lt;&gt;Unchanged",'SOW Item Impact'!$D$5:$D$104)</f>
        <v>370.08</v>
      </c>
    </row>
    <row r="29" customFormat="false" ht="15" hidden="false" customHeight="false" outlineLevel="0" collapsed="false">
      <c r="A29" s="11" t="s">
        <v>53</v>
      </c>
      <c r="B29" s="21" t="n">
        <f aca="false">B28/SUM('SOW Item Impact'!$D$5:$D$104)</f>
        <v>0.64572864321608</v>
      </c>
    </row>
    <row r="31" customFormat="false" ht="15" hidden="false" customHeight="false" outlineLevel="0" collapsed="false">
      <c r="A31" s="22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20"/>
    <col collapsed="false" customWidth="true" hidden="false" outlineLevel="0" max="8" min="8" style="0" width="48"/>
    <col collapsed="false" customWidth="true" hidden="false" outlineLevel="0" max="9" min="9" style="0" width="10"/>
    <col collapsed="false" customWidth="true" hidden="false" outlineLevel="0" max="13" min="10" style="0" width="9"/>
    <col collapsed="false" customWidth="true" hidden="false" outlineLevel="0" max="14" min="14" style="0" width="20"/>
    <col collapsed="false" customWidth="true" hidden="false" outlineLevel="0" max="15" min="15" style="0" width="22"/>
    <col collapsed="false" customWidth="true" hidden="false" outlineLevel="0" max="16" min="16" style="0" width="40"/>
    <col collapsed="false" customWidth="true" hidden="false" outlineLevel="0" max="17" min="17" style="0" width="16"/>
    <col collapsed="false" customWidth="true" hidden="false" outlineLevel="0" max="18" min="18" style="0" width="32"/>
    <col collapsed="false" customWidth="true" hidden="false" outlineLevel="0" max="19" min="19" style="0" width="11"/>
    <col collapsed="false" customWidth="true" hidden="false" outlineLevel="0" max="20" min="20" style="0" width="18"/>
    <col collapsed="false" customWidth="true" hidden="false" outlineLevel="0" max="21" min="21" style="0" width="12"/>
  </cols>
  <sheetData>
    <row r="1" customFormat="false" ht="17.35" hidden="false" customHeight="false" outlineLevel="0" collapsed="false">
      <c r="A1" s="5" t="s">
        <v>55</v>
      </c>
    </row>
    <row r="2" customFormat="false" ht="15" hidden="false" customHeight="false" outlineLevel="0" collapsed="false">
      <c r="A2" s="6" t="s">
        <v>56</v>
      </c>
    </row>
    <row r="4" customFormat="false" ht="57.45" hidden="false" customHeight="false" outlineLevel="0" collapsed="false">
      <c r="A4" s="9" t="s">
        <v>57</v>
      </c>
      <c r="B4" s="9" t="s">
        <v>58</v>
      </c>
      <c r="C4" s="9" t="s">
        <v>59</v>
      </c>
      <c r="D4" s="9" t="s">
        <v>60</v>
      </c>
      <c r="E4" s="9" t="s">
        <v>61</v>
      </c>
      <c r="F4" s="9" t="s">
        <v>62</v>
      </c>
      <c r="G4" s="9" t="s">
        <v>63</v>
      </c>
      <c r="H4" s="9" t="s">
        <v>64</v>
      </c>
      <c r="I4" s="9" t="s">
        <v>65</v>
      </c>
      <c r="J4" s="9" t="s">
        <v>25</v>
      </c>
      <c r="K4" s="9" t="s">
        <v>26</v>
      </c>
      <c r="L4" s="9" t="s">
        <v>66</v>
      </c>
      <c r="M4" s="9" t="s">
        <v>67</v>
      </c>
      <c r="N4" s="9" t="s">
        <v>68</v>
      </c>
      <c r="O4" s="9" t="s">
        <v>69</v>
      </c>
      <c r="P4" s="9" t="s">
        <v>70</v>
      </c>
      <c r="Q4" s="9" t="s">
        <v>71</v>
      </c>
      <c r="R4" s="9" t="s">
        <v>72</v>
      </c>
      <c r="S4" s="9" t="s">
        <v>73</v>
      </c>
      <c r="T4" s="9" t="s">
        <v>74</v>
      </c>
      <c r="U4" s="9" t="s">
        <v>75</v>
      </c>
    </row>
    <row r="5" customFormat="false" ht="57.45" hidden="false" customHeight="false" outlineLevel="0" collapsed="false">
      <c r="A5" s="23" t="s">
        <v>76</v>
      </c>
      <c r="B5" s="23" t="s">
        <v>77</v>
      </c>
      <c r="C5" s="24" t="s">
        <v>78</v>
      </c>
      <c r="D5" s="24" t="s">
        <v>79</v>
      </c>
      <c r="E5" s="25" t="n">
        <v>0</v>
      </c>
      <c r="F5" s="26" t="n">
        <f aca="false">SUMPRODUCT(ISNUMBER(SEARCH("#"&amp;'SOW Item Impact'!$A$5:$A$104&amp;",",D5&amp;","))*'SOW Item Impact'!$D$5:$D$104)</f>
        <v>0</v>
      </c>
      <c r="G5" s="27" t="s">
        <v>29</v>
      </c>
      <c r="H5" s="24" t="s">
        <v>80</v>
      </c>
      <c r="I5" s="24" t="s">
        <v>81</v>
      </c>
      <c r="J5" s="28" t="n">
        <v>3</v>
      </c>
      <c r="K5" s="28" t="n">
        <v>6</v>
      </c>
      <c r="L5" s="28" t="n">
        <v>0</v>
      </c>
      <c r="M5" s="28" t="n">
        <v>0</v>
      </c>
      <c r="N5" s="24" t="s">
        <v>82</v>
      </c>
      <c r="O5" s="24" t="s">
        <v>83</v>
      </c>
      <c r="P5" s="24" t="s">
        <v>84</v>
      </c>
      <c r="Q5" s="24" t="s">
        <v>85</v>
      </c>
      <c r="R5" s="24" t="s">
        <v>86</v>
      </c>
      <c r="S5" s="29"/>
      <c r="T5" s="29"/>
      <c r="U5" s="29" t="s">
        <v>87</v>
      </c>
    </row>
    <row r="6" customFormat="false" ht="57.45" hidden="false" customHeight="false" outlineLevel="0" collapsed="false">
      <c r="A6" s="23" t="s">
        <v>88</v>
      </c>
      <c r="B6" s="23" t="s">
        <v>89</v>
      </c>
      <c r="C6" s="24" t="s">
        <v>90</v>
      </c>
      <c r="D6" s="24" t="s">
        <v>91</v>
      </c>
      <c r="E6" s="25" t="n">
        <v>6</v>
      </c>
      <c r="F6" s="26" t="n">
        <f aca="false">SUMPRODUCT(ISNUMBER(SEARCH("#"&amp;'SOW Item Impact'!$A$5:$A$104&amp;",",D6&amp;","))*'SOW Item Impact'!$D$5:$D$104)</f>
        <v>36</v>
      </c>
      <c r="G6" s="30" t="s">
        <v>28</v>
      </c>
      <c r="H6" s="24" t="s">
        <v>92</v>
      </c>
      <c r="I6" s="24" t="s">
        <v>79</v>
      </c>
      <c r="J6" s="28" t="n">
        <v>2</v>
      </c>
      <c r="K6" s="28" t="n">
        <v>4</v>
      </c>
      <c r="L6" s="28" t="n">
        <v>5</v>
      </c>
      <c r="M6" s="28" t="n">
        <v>11.52</v>
      </c>
      <c r="N6" s="24" t="s">
        <v>93</v>
      </c>
      <c r="O6" s="24" t="s">
        <v>83</v>
      </c>
      <c r="P6" s="24" t="s">
        <v>94</v>
      </c>
      <c r="Q6" s="24" t="s">
        <v>95</v>
      </c>
      <c r="R6" s="24" t="s">
        <v>96</v>
      </c>
      <c r="S6" s="29"/>
      <c r="T6" s="29"/>
      <c r="U6" s="29" t="s">
        <v>87</v>
      </c>
    </row>
    <row r="7" customFormat="false" ht="35.05" hidden="false" customHeight="false" outlineLevel="0" collapsed="false">
      <c r="A7" s="23" t="s">
        <v>97</v>
      </c>
      <c r="B7" s="23" t="s">
        <v>98</v>
      </c>
      <c r="C7" s="24" t="s">
        <v>99</v>
      </c>
      <c r="D7" s="24" t="s">
        <v>100</v>
      </c>
      <c r="E7" s="25" t="n">
        <v>4</v>
      </c>
      <c r="F7" s="26" t="n">
        <f aca="false">SUMPRODUCT(ISNUMBER(SEARCH("#"&amp;'SOW Item Impact'!$A$5:$A$104&amp;",",D7&amp;","))*'SOW Item Impact'!$D$5:$D$104)</f>
        <v>24.48</v>
      </c>
      <c r="G7" s="30" t="s">
        <v>28</v>
      </c>
      <c r="H7" s="24" t="s">
        <v>101</v>
      </c>
      <c r="I7" s="24" t="s">
        <v>79</v>
      </c>
      <c r="J7" s="28" t="n">
        <v>2</v>
      </c>
      <c r="K7" s="28" t="n">
        <v>3</v>
      </c>
      <c r="L7" s="28" t="n">
        <v>0</v>
      </c>
      <c r="M7" s="28" t="n">
        <v>0</v>
      </c>
      <c r="N7" s="24" t="s">
        <v>93</v>
      </c>
      <c r="O7" s="24" t="s">
        <v>83</v>
      </c>
      <c r="P7" s="24" t="s">
        <v>102</v>
      </c>
      <c r="Q7" s="24" t="s">
        <v>103</v>
      </c>
      <c r="R7" s="24" t="s">
        <v>104</v>
      </c>
      <c r="S7" s="29"/>
      <c r="T7" s="29"/>
      <c r="U7" s="29" t="s">
        <v>87</v>
      </c>
    </row>
    <row r="8" customFormat="false" ht="35.05" hidden="false" customHeight="false" outlineLevel="0" collapsed="false">
      <c r="A8" s="23" t="s">
        <v>105</v>
      </c>
      <c r="B8" s="23" t="s">
        <v>106</v>
      </c>
      <c r="C8" s="24" t="s">
        <v>107</v>
      </c>
      <c r="D8" s="24" t="s">
        <v>108</v>
      </c>
      <c r="E8" s="25" t="n">
        <v>4</v>
      </c>
      <c r="F8" s="26" t="n">
        <f aca="false">SUMPRODUCT(ISNUMBER(SEARCH("#"&amp;'SOW Item Impact'!$A$5:$A$104&amp;",",D8&amp;","))*'SOW Item Impact'!$D$5:$D$104)</f>
        <v>27.36</v>
      </c>
      <c r="G8" s="30" t="s">
        <v>28</v>
      </c>
      <c r="H8" s="24" t="s">
        <v>109</v>
      </c>
      <c r="I8" s="24" t="s">
        <v>79</v>
      </c>
      <c r="J8" s="28" t="n">
        <v>1</v>
      </c>
      <c r="K8" s="28" t="n">
        <v>3</v>
      </c>
      <c r="L8" s="28" t="n">
        <v>0</v>
      </c>
      <c r="M8" s="28" t="n">
        <v>0</v>
      </c>
      <c r="N8" s="24" t="s">
        <v>93</v>
      </c>
      <c r="O8" s="24" t="s">
        <v>83</v>
      </c>
      <c r="P8" s="24" t="s">
        <v>110</v>
      </c>
      <c r="Q8" s="24" t="s">
        <v>103</v>
      </c>
      <c r="R8" s="24" t="s">
        <v>111</v>
      </c>
      <c r="S8" s="29"/>
      <c r="T8" s="29"/>
      <c r="U8" s="29" t="s">
        <v>87</v>
      </c>
    </row>
    <row r="9" customFormat="false" ht="57.45" hidden="false" customHeight="false" outlineLevel="0" collapsed="false">
      <c r="A9" s="23" t="s">
        <v>112</v>
      </c>
      <c r="B9" s="23" t="s">
        <v>113</v>
      </c>
      <c r="C9" s="24" t="s">
        <v>114</v>
      </c>
      <c r="D9" s="24" t="s">
        <v>115</v>
      </c>
      <c r="E9" s="25" t="n">
        <v>10</v>
      </c>
      <c r="F9" s="26" t="n">
        <f aca="false">SUMPRODUCT(ISNUMBER(SEARCH("#"&amp;'SOW Item Impact'!$A$5:$A$104&amp;",",D9&amp;","))*'SOW Item Impact'!$D$5:$D$104)</f>
        <v>51.84</v>
      </c>
      <c r="G9" s="27" t="s">
        <v>29</v>
      </c>
      <c r="H9" s="24" t="s">
        <v>116</v>
      </c>
      <c r="I9" s="24" t="s">
        <v>117</v>
      </c>
      <c r="J9" s="28" t="n">
        <v>2</v>
      </c>
      <c r="K9" s="28" t="n">
        <v>4</v>
      </c>
      <c r="L9" s="28" t="n">
        <v>0</v>
      </c>
      <c r="M9" s="28" t="n">
        <v>0</v>
      </c>
      <c r="N9" s="24" t="s">
        <v>93</v>
      </c>
      <c r="O9" s="24" t="s">
        <v>83</v>
      </c>
      <c r="P9" s="24" t="s">
        <v>118</v>
      </c>
      <c r="Q9" s="24" t="s">
        <v>85</v>
      </c>
      <c r="R9" s="24" t="s">
        <v>119</v>
      </c>
      <c r="S9" s="29"/>
      <c r="T9" s="29"/>
      <c r="U9" s="29" t="s">
        <v>87</v>
      </c>
    </row>
    <row r="10" customFormat="false" ht="46.25" hidden="false" customHeight="false" outlineLevel="0" collapsed="false">
      <c r="A10" s="23" t="s">
        <v>120</v>
      </c>
      <c r="B10" s="23" t="s">
        <v>121</v>
      </c>
      <c r="C10" s="24" t="s">
        <v>122</v>
      </c>
      <c r="D10" s="24" t="s">
        <v>79</v>
      </c>
      <c r="E10" s="25" t="n">
        <v>0</v>
      </c>
      <c r="F10" s="26" t="n">
        <f aca="false">SUMPRODUCT(ISNUMBER(SEARCH("#"&amp;'SOW Item Impact'!$A$5:$A$104&amp;",",D10&amp;","))*'SOW Item Impact'!$D$5:$D$104)</f>
        <v>0</v>
      </c>
      <c r="G10" s="31" t="s">
        <v>31</v>
      </c>
      <c r="H10" s="24" t="s">
        <v>123</v>
      </c>
      <c r="I10" s="24" t="s">
        <v>79</v>
      </c>
      <c r="J10" s="28" t="n">
        <v>0</v>
      </c>
      <c r="K10" s="28" t="n">
        <v>1</v>
      </c>
      <c r="L10" s="28" t="n">
        <v>0</v>
      </c>
      <c r="M10" s="28" t="n">
        <v>0</v>
      </c>
      <c r="N10" s="24" t="s">
        <v>124</v>
      </c>
      <c r="O10" s="24" t="s">
        <v>125</v>
      </c>
      <c r="P10" s="24" t="s">
        <v>126</v>
      </c>
      <c r="Q10" s="24" t="s">
        <v>79</v>
      </c>
      <c r="R10" s="24" t="s">
        <v>127</v>
      </c>
      <c r="S10" s="29"/>
      <c r="T10" s="29"/>
      <c r="U10" s="29" t="s">
        <v>87</v>
      </c>
    </row>
    <row r="11" customFormat="false" ht="46.25" hidden="false" customHeight="false" outlineLevel="0" collapsed="false">
      <c r="A11" s="23" t="s">
        <v>128</v>
      </c>
      <c r="B11" s="23" t="s">
        <v>129</v>
      </c>
      <c r="C11" s="24" t="s">
        <v>130</v>
      </c>
      <c r="D11" s="24" t="s">
        <v>131</v>
      </c>
      <c r="E11" s="25" t="n">
        <v>5</v>
      </c>
      <c r="F11" s="26" t="n">
        <f aca="false">SUMPRODUCT(ISNUMBER(SEARCH("#"&amp;'SOW Item Impact'!$A$5:$A$104&amp;",",D11&amp;","))*'SOW Item Impact'!$D$5:$D$104)</f>
        <v>28.8</v>
      </c>
      <c r="G11" s="27" t="s">
        <v>29</v>
      </c>
      <c r="H11" s="24" t="s">
        <v>132</v>
      </c>
      <c r="I11" s="24" t="s">
        <v>133</v>
      </c>
      <c r="J11" s="28" t="n">
        <v>4</v>
      </c>
      <c r="K11" s="28" t="n">
        <v>8</v>
      </c>
      <c r="L11" s="28" t="n">
        <v>0</v>
      </c>
      <c r="M11" s="28" t="n">
        <v>0</v>
      </c>
      <c r="N11" s="24" t="s">
        <v>82</v>
      </c>
      <c r="O11" s="24" t="s">
        <v>83</v>
      </c>
      <c r="P11" s="24" t="s">
        <v>134</v>
      </c>
      <c r="Q11" s="24" t="s">
        <v>85</v>
      </c>
      <c r="R11" s="24" t="s">
        <v>135</v>
      </c>
      <c r="S11" s="29"/>
      <c r="T11" s="29"/>
      <c r="U11" s="29" t="s">
        <v>87</v>
      </c>
    </row>
    <row r="12" customFormat="false" ht="35.05" hidden="false" customHeight="false" outlineLevel="0" collapsed="false">
      <c r="A12" s="23" t="s">
        <v>136</v>
      </c>
      <c r="B12" s="23" t="s">
        <v>137</v>
      </c>
      <c r="C12" s="24" t="s">
        <v>138</v>
      </c>
      <c r="D12" s="24" t="s">
        <v>139</v>
      </c>
      <c r="E12" s="25" t="n">
        <v>1</v>
      </c>
      <c r="F12" s="26" t="n">
        <f aca="false">SUMPRODUCT(ISNUMBER(SEARCH("#"&amp;'SOW Item Impact'!$A$5:$A$104&amp;",",D12&amp;","))*'SOW Item Impact'!$D$5:$D$104)</f>
        <v>5.76</v>
      </c>
      <c r="G12" s="32" t="s">
        <v>27</v>
      </c>
      <c r="H12" s="24" t="s">
        <v>140</v>
      </c>
      <c r="I12" s="24" t="s">
        <v>79</v>
      </c>
      <c r="J12" s="28" t="n">
        <v>0</v>
      </c>
      <c r="K12" s="28" t="n">
        <v>2</v>
      </c>
      <c r="L12" s="28" t="n">
        <v>0</v>
      </c>
      <c r="M12" s="28" t="n">
        <v>0</v>
      </c>
      <c r="N12" s="24" t="s">
        <v>93</v>
      </c>
      <c r="O12" s="24" t="s">
        <v>83</v>
      </c>
      <c r="P12" s="24" t="s">
        <v>79</v>
      </c>
      <c r="Q12" s="24" t="s">
        <v>79</v>
      </c>
      <c r="R12" s="24" t="s">
        <v>141</v>
      </c>
      <c r="S12" s="29"/>
      <c r="T12" s="29"/>
      <c r="U12" s="29" t="s">
        <v>87</v>
      </c>
    </row>
    <row r="13" customFormat="false" ht="35.05" hidden="false" customHeight="false" outlineLevel="0" collapsed="false">
      <c r="A13" s="23" t="s">
        <v>142</v>
      </c>
      <c r="B13" s="23" t="s">
        <v>143</v>
      </c>
      <c r="C13" s="24" t="s">
        <v>144</v>
      </c>
      <c r="D13" s="24" t="s">
        <v>145</v>
      </c>
      <c r="E13" s="25" t="n">
        <v>6</v>
      </c>
      <c r="F13" s="26" t="n">
        <f aca="false">SUMPRODUCT(ISNUMBER(SEARCH("#"&amp;'SOW Item Impact'!$A$5:$A$104&amp;",",D13&amp;","))*'SOW Item Impact'!$D$5:$D$104)</f>
        <v>40.32</v>
      </c>
      <c r="G13" s="33" t="s">
        <v>30</v>
      </c>
      <c r="H13" s="24" t="s">
        <v>146</v>
      </c>
      <c r="I13" s="24" t="s">
        <v>147</v>
      </c>
      <c r="J13" s="28" t="n">
        <v>2</v>
      </c>
      <c r="K13" s="28" t="n">
        <v>4</v>
      </c>
      <c r="L13" s="28" t="n">
        <v>0</v>
      </c>
      <c r="M13" s="28" t="n">
        <v>0</v>
      </c>
      <c r="N13" s="24" t="s">
        <v>93</v>
      </c>
      <c r="O13" s="24" t="s">
        <v>83</v>
      </c>
      <c r="P13" s="24" t="s">
        <v>148</v>
      </c>
      <c r="Q13" s="24" t="s">
        <v>85</v>
      </c>
      <c r="R13" s="24" t="s">
        <v>149</v>
      </c>
      <c r="S13" s="29"/>
      <c r="T13" s="29"/>
      <c r="U13" s="29" t="s">
        <v>87</v>
      </c>
    </row>
    <row r="14" customFormat="false" ht="57.45" hidden="false" customHeight="false" outlineLevel="0" collapsed="false">
      <c r="A14" s="23" t="s">
        <v>150</v>
      </c>
      <c r="B14" s="23" t="s">
        <v>151</v>
      </c>
      <c r="C14" s="24" t="s">
        <v>152</v>
      </c>
      <c r="D14" s="24" t="s">
        <v>153</v>
      </c>
      <c r="E14" s="25" t="n">
        <v>2</v>
      </c>
      <c r="F14" s="26" t="n">
        <f aca="false">SUMPRODUCT(ISNUMBER(SEARCH("#"&amp;'SOW Item Impact'!$A$5:$A$104&amp;",",D14&amp;","))*'SOW Item Impact'!$D$5:$D$104)</f>
        <v>17.28</v>
      </c>
      <c r="G14" s="30" t="s">
        <v>28</v>
      </c>
      <c r="H14" s="24" t="s">
        <v>154</v>
      </c>
      <c r="I14" s="24" t="s">
        <v>79</v>
      </c>
      <c r="J14" s="28" t="n">
        <v>2</v>
      </c>
      <c r="K14" s="28" t="n">
        <v>4</v>
      </c>
      <c r="L14" s="28" t="n">
        <v>3</v>
      </c>
      <c r="M14" s="28" t="n">
        <v>8.64</v>
      </c>
      <c r="N14" s="24" t="s">
        <v>82</v>
      </c>
      <c r="O14" s="24" t="s">
        <v>83</v>
      </c>
      <c r="P14" s="24" t="s">
        <v>155</v>
      </c>
      <c r="Q14" s="24" t="s">
        <v>79</v>
      </c>
      <c r="R14" s="24" t="s">
        <v>156</v>
      </c>
      <c r="S14" s="29"/>
      <c r="T14" s="29"/>
      <c r="U14" s="29" t="s">
        <v>87</v>
      </c>
    </row>
    <row r="15" customFormat="false" ht="46.25" hidden="false" customHeight="false" outlineLevel="0" collapsed="false">
      <c r="A15" s="23" t="s">
        <v>157</v>
      </c>
      <c r="B15" s="23" t="s">
        <v>158</v>
      </c>
      <c r="C15" s="24" t="s">
        <v>159</v>
      </c>
      <c r="D15" s="24" t="s">
        <v>160</v>
      </c>
      <c r="E15" s="25" t="n">
        <v>6</v>
      </c>
      <c r="F15" s="26" t="n">
        <f aca="false">SUMPRODUCT(ISNUMBER(SEARCH("#"&amp;'SOW Item Impact'!$A$5:$A$104&amp;",",D15&amp;","))*'SOW Item Impact'!$D$5:$D$104)</f>
        <v>34.56</v>
      </c>
      <c r="G15" s="33" t="s">
        <v>30</v>
      </c>
      <c r="H15" s="24" t="s">
        <v>161</v>
      </c>
      <c r="I15" s="24" t="s">
        <v>162</v>
      </c>
      <c r="J15" s="28" t="n">
        <v>2</v>
      </c>
      <c r="K15" s="28" t="n">
        <v>4</v>
      </c>
      <c r="L15" s="28" t="n">
        <v>0</v>
      </c>
      <c r="M15" s="28" t="n">
        <v>0</v>
      </c>
      <c r="N15" s="24" t="s">
        <v>82</v>
      </c>
      <c r="O15" s="24" t="s">
        <v>83</v>
      </c>
      <c r="P15" s="24" t="s">
        <v>163</v>
      </c>
      <c r="Q15" s="24" t="s">
        <v>85</v>
      </c>
      <c r="R15" s="24" t="s">
        <v>164</v>
      </c>
      <c r="S15" s="29"/>
      <c r="T15" s="29"/>
      <c r="U15" s="29" t="s">
        <v>87</v>
      </c>
    </row>
    <row r="16" customFormat="false" ht="35.05" hidden="false" customHeight="false" outlineLevel="0" collapsed="false">
      <c r="A16" s="23" t="s">
        <v>165</v>
      </c>
      <c r="B16" s="23" t="s">
        <v>166</v>
      </c>
      <c r="C16" s="24" t="s">
        <v>167</v>
      </c>
      <c r="D16" s="24" t="s">
        <v>168</v>
      </c>
      <c r="E16" s="25" t="n">
        <v>2</v>
      </c>
      <c r="F16" s="26" t="n">
        <f aca="false">SUMPRODUCT(ISNUMBER(SEARCH("#"&amp;'SOW Item Impact'!$A$5:$A$104&amp;",",D16&amp;","))*'SOW Item Impact'!$D$5:$D$104)</f>
        <v>18.72</v>
      </c>
      <c r="G16" s="33" t="s">
        <v>30</v>
      </c>
      <c r="H16" s="24" t="s">
        <v>169</v>
      </c>
      <c r="I16" s="24" t="s">
        <v>170</v>
      </c>
      <c r="J16" s="28" t="n">
        <v>1</v>
      </c>
      <c r="K16" s="28" t="n">
        <v>2</v>
      </c>
      <c r="L16" s="28" t="n">
        <v>0</v>
      </c>
      <c r="M16" s="28" t="n">
        <v>0</v>
      </c>
      <c r="N16" s="24" t="s">
        <v>93</v>
      </c>
      <c r="O16" s="24" t="s">
        <v>83</v>
      </c>
      <c r="P16" s="24" t="s">
        <v>171</v>
      </c>
      <c r="Q16" s="24" t="s">
        <v>85</v>
      </c>
      <c r="R16" s="24" t="s">
        <v>172</v>
      </c>
      <c r="S16" s="29"/>
      <c r="T16" s="29"/>
      <c r="U16" s="29" t="s">
        <v>87</v>
      </c>
    </row>
    <row r="17" customFormat="false" ht="46.25" hidden="false" customHeight="false" outlineLevel="0" collapsed="false">
      <c r="A17" s="23" t="s">
        <v>173</v>
      </c>
      <c r="B17" s="23" t="s">
        <v>174</v>
      </c>
      <c r="C17" s="24" t="s">
        <v>175</v>
      </c>
      <c r="D17" s="24" t="s">
        <v>176</v>
      </c>
      <c r="E17" s="25" t="n">
        <v>2</v>
      </c>
      <c r="F17" s="26" t="n">
        <f aca="false">SUMPRODUCT(ISNUMBER(SEARCH("#"&amp;'SOW Item Impact'!$A$5:$A$104&amp;",",D17&amp;","))*'SOW Item Impact'!$D$5:$D$104)</f>
        <v>15.84</v>
      </c>
      <c r="G17" s="33" t="s">
        <v>30</v>
      </c>
      <c r="H17" s="24" t="s">
        <v>177</v>
      </c>
      <c r="I17" s="24" t="s">
        <v>178</v>
      </c>
      <c r="J17" s="28" t="n">
        <v>2</v>
      </c>
      <c r="K17" s="28" t="n">
        <v>4</v>
      </c>
      <c r="L17" s="28" t="n">
        <v>0</v>
      </c>
      <c r="M17" s="28" t="n">
        <v>0</v>
      </c>
      <c r="N17" s="24" t="s">
        <v>82</v>
      </c>
      <c r="O17" s="24" t="s">
        <v>83</v>
      </c>
      <c r="P17" s="24" t="s">
        <v>179</v>
      </c>
      <c r="Q17" s="24" t="s">
        <v>85</v>
      </c>
      <c r="R17" s="24" t="s">
        <v>180</v>
      </c>
      <c r="S17" s="29"/>
      <c r="T17" s="29"/>
      <c r="U17" s="29" t="s">
        <v>87</v>
      </c>
    </row>
    <row r="18" customFormat="false" ht="23.85" hidden="false" customHeight="false" outlineLevel="0" collapsed="false">
      <c r="A18" s="23" t="s">
        <v>181</v>
      </c>
      <c r="B18" s="23" t="s">
        <v>182</v>
      </c>
      <c r="C18" s="24" t="s">
        <v>183</v>
      </c>
      <c r="D18" s="24" t="s">
        <v>184</v>
      </c>
      <c r="E18" s="25" t="n">
        <v>8</v>
      </c>
      <c r="F18" s="26" t="n">
        <f aca="false">SUMPRODUCT(ISNUMBER(SEARCH("#"&amp;'SOW Item Impact'!$A$5:$A$104&amp;",",D18&amp;","))*'SOW Item Impact'!$D$5:$D$104)</f>
        <v>56.16</v>
      </c>
      <c r="G18" s="32" t="s">
        <v>27</v>
      </c>
      <c r="H18" s="24" t="s">
        <v>185</v>
      </c>
      <c r="I18" s="24" t="s">
        <v>79</v>
      </c>
      <c r="J18" s="28" t="n">
        <v>0</v>
      </c>
      <c r="K18" s="28" t="n">
        <v>0</v>
      </c>
      <c r="L18" s="28" t="n">
        <v>0</v>
      </c>
      <c r="M18" s="28" t="n">
        <v>0</v>
      </c>
      <c r="N18" s="24" t="s">
        <v>93</v>
      </c>
      <c r="O18" s="24" t="s">
        <v>83</v>
      </c>
      <c r="P18" s="24" t="s">
        <v>79</v>
      </c>
      <c r="Q18" s="24" t="s">
        <v>79</v>
      </c>
      <c r="R18" s="24" t="s">
        <v>186</v>
      </c>
      <c r="S18" s="29"/>
      <c r="T18" s="29"/>
      <c r="U18" s="29" t="s">
        <v>87</v>
      </c>
    </row>
    <row r="19" customFormat="false" ht="35.05" hidden="false" customHeight="false" outlineLevel="0" collapsed="false">
      <c r="A19" s="23" t="s">
        <v>187</v>
      </c>
      <c r="B19" s="23" t="s">
        <v>188</v>
      </c>
      <c r="C19" s="24" t="s">
        <v>189</v>
      </c>
      <c r="D19" s="24" t="s">
        <v>190</v>
      </c>
      <c r="E19" s="25" t="n">
        <v>2</v>
      </c>
      <c r="F19" s="26" t="n">
        <f aca="false">SUMPRODUCT(ISNUMBER(SEARCH("#"&amp;'SOW Item Impact'!$A$5:$A$104&amp;",",D19&amp;","))*'SOW Item Impact'!$D$5:$D$104)</f>
        <v>12.96</v>
      </c>
      <c r="G19" s="30" t="s">
        <v>28</v>
      </c>
      <c r="H19" s="24" t="s">
        <v>191</v>
      </c>
      <c r="I19" s="24" t="s">
        <v>192</v>
      </c>
      <c r="J19" s="28" t="n">
        <v>1</v>
      </c>
      <c r="K19" s="28" t="n">
        <v>2</v>
      </c>
      <c r="L19" s="28" t="n">
        <v>0</v>
      </c>
      <c r="M19" s="28" t="n">
        <v>0</v>
      </c>
      <c r="N19" s="24" t="s">
        <v>82</v>
      </c>
      <c r="O19" s="24" t="s">
        <v>83</v>
      </c>
      <c r="P19" s="24" t="s">
        <v>193</v>
      </c>
      <c r="Q19" s="24" t="s">
        <v>103</v>
      </c>
      <c r="R19" s="24" t="s">
        <v>194</v>
      </c>
      <c r="S19" s="29"/>
      <c r="T19" s="29"/>
      <c r="U19" s="29" t="s">
        <v>87</v>
      </c>
    </row>
    <row r="20" customFormat="false" ht="35.05" hidden="false" customHeight="false" outlineLevel="0" collapsed="false">
      <c r="A20" s="23" t="s">
        <v>195</v>
      </c>
      <c r="B20" s="23" t="s">
        <v>196</v>
      </c>
      <c r="C20" s="24" t="s">
        <v>197</v>
      </c>
      <c r="D20" s="24" t="s">
        <v>79</v>
      </c>
      <c r="E20" s="25" t="n">
        <v>0</v>
      </c>
      <c r="F20" s="26" t="n">
        <f aca="false">SUMPRODUCT(ISNUMBER(SEARCH("#"&amp;'SOW Item Impact'!$A$5:$A$104&amp;",",D20&amp;","))*'SOW Item Impact'!$D$5:$D$104)</f>
        <v>0</v>
      </c>
      <c r="G20" s="30" t="s">
        <v>28</v>
      </c>
      <c r="H20" s="24" t="s">
        <v>198</v>
      </c>
      <c r="I20" s="24" t="s">
        <v>79</v>
      </c>
      <c r="J20" s="28" t="n">
        <v>1</v>
      </c>
      <c r="K20" s="28" t="n">
        <v>2</v>
      </c>
      <c r="L20" s="28" t="n">
        <v>0</v>
      </c>
      <c r="M20" s="28" t="n">
        <v>0</v>
      </c>
      <c r="N20" s="24" t="s">
        <v>82</v>
      </c>
      <c r="O20" s="24" t="s">
        <v>83</v>
      </c>
      <c r="P20" s="24" t="s">
        <v>199</v>
      </c>
      <c r="Q20" s="24" t="s">
        <v>103</v>
      </c>
      <c r="R20" s="24" t="s">
        <v>200</v>
      </c>
      <c r="S20" s="29"/>
      <c r="T20" s="29"/>
      <c r="U20" s="29" t="s">
        <v>87</v>
      </c>
    </row>
    <row r="21" customFormat="false" ht="46.25" hidden="false" customHeight="false" outlineLevel="0" collapsed="false">
      <c r="A21" s="23" t="s">
        <v>201</v>
      </c>
      <c r="B21" s="23" t="s">
        <v>202</v>
      </c>
      <c r="C21" s="24" t="s">
        <v>203</v>
      </c>
      <c r="D21" s="24" t="s">
        <v>79</v>
      </c>
      <c r="E21" s="25" t="n">
        <v>0</v>
      </c>
      <c r="F21" s="26" t="n">
        <f aca="false">SUMPRODUCT(ISNUMBER(SEARCH("#"&amp;'SOW Item Impact'!$A$5:$A$104&amp;",",D21&amp;","))*'SOW Item Impact'!$D$5:$D$104)</f>
        <v>0</v>
      </c>
      <c r="G21" s="33" t="s">
        <v>30</v>
      </c>
      <c r="H21" s="24" t="s">
        <v>204</v>
      </c>
      <c r="I21" s="24" t="s">
        <v>205</v>
      </c>
      <c r="J21" s="28" t="n">
        <v>3</v>
      </c>
      <c r="K21" s="28" t="n">
        <v>5</v>
      </c>
      <c r="L21" s="28" t="n">
        <v>0</v>
      </c>
      <c r="M21" s="28" t="n">
        <v>0</v>
      </c>
      <c r="N21" s="24" t="s">
        <v>82</v>
      </c>
      <c r="O21" s="24" t="s">
        <v>83</v>
      </c>
      <c r="P21" s="24" t="s">
        <v>206</v>
      </c>
      <c r="Q21" s="24" t="s">
        <v>85</v>
      </c>
      <c r="R21" s="24" t="s">
        <v>207</v>
      </c>
      <c r="S21" s="29"/>
      <c r="T21" s="29"/>
      <c r="U21" s="29" t="s">
        <v>87</v>
      </c>
    </row>
    <row r="22" customFormat="false" ht="35.05" hidden="false" customHeight="false" outlineLevel="0" collapsed="false">
      <c r="A22" s="23" t="s">
        <v>208</v>
      </c>
      <c r="B22" s="23" t="s">
        <v>209</v>
      </c>
      <c r="C22" s="24" t="s">
        <v>210</v>
      </c>
      <c r="D22" s="24" t="s">
        <v>211</v>
      </c>
      <c r="E22" s="25" t="n">
        <v>8</v>
      </c>
      <c r="F22" s="26" t="n">
        <f aca="false">SUMPRODUCT(ISNUMBER(SEARCH("#"&amp;'SOW Item Impact'!$A$5:$A$104&amp;",",D22&amp;","))*'SOW Item Impact'!$D$5:$D$104)</f>
        <v>47.52</v>
      </c>
      <c r="G22" s="33" t="s">
        <v>30</v>
      </c>
      <c r="H22" s="24" t="s">
        <v>212</v>
      </c>
      <c r="I22" s="24" t="s">
        <v>213</v>
      </c>
      <c r="J22" s="28" t="n">
        <v>3</v>
      </c>
      <c r="K22" s="28" t="n">
        <v>5</v>
      </c>
      <c r="L22" s="28" t="n">
        <v>0</v>
      </c>
      <c r="M22" s="28" t="n">
        <v>0</v>
      </c>
      <c r="N22" s="24" t="s">
        <v>82</v>
      </c>
      <c r="O22" s="24" t="s">
        <v>83</v>
      </c>
      <c r="P22" s="24" t="s">
        <v>214</v>
      </c>
      <c r="Q22" s="24" t="s">
        <v>85</v>
      </c>
      <c r="R22" s="24" t="s">
        <v>215</v>
      </c>
      <c r="S22" s="29"/>
      <c r="T22" s="29"/>
      <c r="U22" s="29" t="s">
        <v>87</v>
      </c>
    </row>
    <row r="23" customFormat="false" ht="23.85" hidden="false" customHeight="false" outlineLevel="0" collapsed="false">
      <c r="A23" s="23" t="s">
        <v>216</v>
      </c>
      <c r="B23" s="23" t="s">
        <v>217</v>
      </c>
      <c r="C23" s="24" t="s">
        <v>218</v>
      </c>
      <c r="D23" s="24" t="s">
        <v>79</v>
      </c>
      <c r="E23" s="25" t="n">
        <v>0</v>
      </c>
      <c r="F23" s="26" t="n">
        <f aca="false">SUMPRODUCT(ISNUMBER(SEARCH("#"&amp;'SOW Item Impact'!$A$5:$A$104&amp;",",D23&amp;","))*'SOW Item Impact'!$D$5:$D$104)</f>
        <v>0</v>
      </c>
      <c r="G23" s="33" t="s">
        <v>30</v>
      </c>
      <c r="H23" s="24" t="s">
        <v>219</v>
      </c>
      <c r="I23" s="24" t="s">
        <v>220</v>
      </c>
      <c r="J23" s="28" t="n">
        <v>0</v>
      </c>
      <c r="K23" s="28" t="n">
        <v>2</v>
      </c>
      <c r="L23" s="28" t="n">
        <v>0</v>
      </c>
      <c r="M23" s="28" t="n">
        <v>0</v>
      </c>
      <c r="N23" s="24" t="s">
        <v>82</v>
      </c>
      <c r="O23" s="24" t="s">
        <v>83</v>
      </c>
      <c r="P23" s="24" t="s">
        <v>221</v>
      </c>
      <c r="Q23" s="24" t="s">
        <v>85</v>
      </c>
      <c r="R23" s="24" t="s">
        <v>222</v>
      </c>
      <c r="S23" s="29"/>
      <c r="T23" s="29"/>
      <c r="U23" s="29" t="s">
        <v>87</v>
      </c>
    </row>
    <row r="24" customFormat="false" ht="35.05" hidden="false" customHeight="false" outlineLevel="0" collapsed="false">
      <c r="A24" s="23" t="s">
        <v>223</v>
      </c>
      <c r="B24" s="23" t="s">
        <v>224</v>
      </c>
      <c r="C24" s="24" t="s">
        <v>225</v>
      </c>
      <c r="D24" s="24" t="s">
        <v>226</v>
      </c>
      <c r="E24" s="25" t="n">
        <v>1</v>
      </c>
      <c r="F24" s="26" t="n">
        <f aca="false">SUMPRODUCT(ISNUMBER(SEARCH("#"&amp;'SOW Item Impact'!$A$5:$A$104&amp;",",D24&amp;","))*'SOW Item Impact'!$D$5:$D$104)</f>
        <v>7.2</v>
      </c>
      <c r="G24" s="27" t="s">
        <v>29</v>
      </c>
      <c r="H24" s="24" t="s">
        <v>227</v>
      </c>
      <c r="I24" s="24" t="s">
        <v>79</v>
      </c>
      <c r="J24" s="28" t="n">
        <v>3</v>
      </c>
      <c r="K24" s="28" t="n">
        <v>6</v>
      </c>
      <c r="L24" s="28" t="n">
        <v>0</v>
      </c>
      <c r="M24" s="28" t="n">
        <v>0</v>
      </c>
      <c r="N24" s="24" t="s">
        <v>82</v>
      </c>
      <c r="O24" s="24" t="s">
        <v>83</v>
      </c>
      <c r="P24" s="24" t="s">
        <v>228</v>
      </c>
      <c r="Q24" s="24" t="s">
        <v>85</v>
      </c>
      <c r="R24" s="24" t="s">
        <v>229</v>
      </c>
      <c r="S24" s="29"/>
      <c r="T24" s="29"/>
      <c r="U24" s="29" t="s">
        <v>87</v>
      </c>
    </row>
    <row r="25" customFormat="false" ht="23.85" hidden="false" customHeight="false" outlineLevel="0" collapsed="false">
      <c r="A25" s="23" t="s">
        <v>230</v>
      </c>
      <c r="B25" s="23" t="s">
        <v>231</v>
      </c>
      <c r="C25" s="24" t="s">
        <v>232</v>
      </c>
      <c r="D25" s="24" t="s">
        <v>233</v>
      </c>
      <c r="E25" s="25" t="n">
        <v>1</v>
      </c>
      <c r="F25" s="26" t="n">
        <f aca="false">SUMPRODUCT(ISNUMBER(SEARCH("#"&amp;'SOW Item Impact'!$A$5:$A$104&amp;",",D25&amp;","))*'SOW Item Impact'!$D$5:$D$104)</f>
        <v>4.32</v>
      </c>
      <c r="G25" s="33" t="s">
        <v>30</v>
      </c>
      <c r="H25" s="24" t="s">
        <v>234</v>
      </c>
      <c r="I25" s="24" t="s">
        <v>235</v>
      </c>
      <c r="J25" s="28" t="n">
        <v>1</v>
      </c>
      <c r="K25" s="28" t="n">
        <v>2</v>
      </c>
      <c r="L25" s="28" t="n">
        <v>0</v>
      </c>
      <c r="M25" s="28" t="n">
        <v>0</v>
      </c>
      <c r="N25" s="24" t="s">
        <v>82</v>
      </c>
      <c r="O25" s="24" t="s">
        <v>83</v>
      </c>
      <c r="P25" s="24" t="s">
        <v>236</v>
      </c>
      <c r="Q25" s="24" t="s">
        <v>85</v>
      </c>
      <c r="R25" s="24" t="s">
        <v>237</v>
      </c>
      <c r="S25" s="29"/>
      <c r="T25" s="29"/>
      <c r="U25" s="29" t="s">
        <v>87</v>
      </c>
    </row>
    <row r="26" customFormat="false" ht="23.85" hidden="false" customHeight="false" outlineLevel="0" collapsed="false">
      <c r="A26" s="23" t="s">
        <v>238</v>
      </c>
      <c r="B26" s="23" t="s">
        <v>239</v>
      </c>
      <c r="C26" s="24" t="s">
        <v>240</v>
      </c>
      <c r="D26" s="24" t="s">
        <v>79</v>
      </c>
      <c r="E26" s="25" t="n">
        <v>0</v>
      </c>
      <c r="F26" s="26" t="n">
        <f aca="false">SUMPRODUCT(ISNUMBER(SEARCH("#"&amp;'SOW Item Impact'!$A$5:$A$104&amp;",",D26&amp;","))*'SOW Item Impact'!$D$5:$D$104)</f>
        <v>0</v>
      </c>
      <c r="G26" s="31" t="s">
        <v>31</v>
      </c>
      <c r="H26" s="24" t="s">
        <v>241</v>
      </c>
      <c r="I26" s="24" t="s">
        <v>79</v>
      </c>
      <c r="J26" s="28" t="n">
        <v>0</v>
      </c>
      <c r="K26" s="28" t="n">
        <v>0</v>
      </c>
      <c r="L26" s="28" t="n">
        <v>0</v>
      </c>
      <c r="M26" s="28" t="n">
        <v>5</v>
      </c>
      <c r="N26" s="24" t="s">
        <v>242</v>
      </c>
      <c r="O26" s="24" t="s">
        <v>243</v>
      </c>
      <c r="P26" s="24" t="s">
        <v>79</v>
      </c>
      <c r="Q26" s="24" t="s">
        <v>244</v>
      </c>
      <c r="R26" s="24" t="s">
        <v>245</v>
      </c>
      <c r="S26" s="29"/>
      <c r="T26" s="29"/>
      <c r="U26" s="29" t="s">
        <v>87</v>
      </c>
    </row>
    <row r="27" customFormat="false" ht="23.85" hidden="false" customHeight="false" outlineLevel="0" collapsed="false">
      <c r="A27" s="23" t="s">
        <v>246</v>
      </c>
      <c r="B27" s="23" t="s">
        <v>247</v>
      </c>
      <c r="C27" s="24" t="s">
        <v>248</v>
      </c>
      <c r="D27" s="24" t="s">
        <v>79</v>
      </c>
      <c r="E27" s="25" t="n">
        <v>0</v>
      </c>
      <c r="F27" s="26" t="n">
        <f aca="false">SUMPRODUCT(ISNUMBER(SEARCH("#"&amp;'SOW Item Impact'!$A$5:$A$104&amp;",",D27&amp;","))*'SOW Item Impact'!$D$5:$D$104)</f>
        <v>0</v>
      </c>
      <c r="G27" s="31" t="s">
        <v>31</v>
      </c>
      <c r="H27" s="24" t="s">
        <v>249</v>
      </c>
      <c r="I27" s="24" t="s">
        <v>79</v>
      </c>
      <c r="J27" s="28" t="n">
        <v>0</v>
      </c>
      <c r="K27" s="28" t="n">
        <v>0</v>
      </c>
      <c r="L27" s="28" t="n">
        <v>0</v>
      </c>
      <c r="M27" s="28" t="n">
        <v>0</v>
      </c>
      <c r="N27" s="24" t="s">
        <v>250</v>
      </c>
      <c r="O27" s="24" t="s">
        <v>251</v>
      </c>
      <c r="P27" s="24" t="s">
        <v>79</v>
      </c>
      <c r="Q27" s="24" t="s">
        <v>79</v>
      </c>
      <c r="R27" s="24" t="s">
        <v>252</v>
      </c>
      <c r="S27" s="29"/>
      <c r="T27" s="29"/>
      <c r="U27" s="29" t="s">
        <v>87</v>
      </c>
    </row>
    <row r="28" customFormat="false" ht="15" hidden="false" customHeight="false" outlineLevel="0" collapsed="false">
      <c r="A28" s="2" t="s">
        <v>32</v>
      </c>
      <c r="E28" s="34" t="n">
        <f aca="false">SUM(E5:E27)</f>
        <v>68</v>
      </c>
      <c r="F28" s="35" t="n">
        <f aca="false">SUM(F5:F27)</f>
        <v>429.12</v>
      </c>
      <c r="J28" s="34" t="n">
        <f aca="false">SUM(J5:J27)</f>
        <v>35</v>
      </c>
      <c r="K28" s="34" t="n">
        <f aca="false">SUM(K5:K27)</f>
        <v>73</v>
      </c>
      <c r="L28" s="34" t="n">
        <f aca="false">SUM(L5:L27)</f>
        <v>8</v>
      </c>
      <c r="M28" s="34" t="n">
        <f aca="false">SUM(M5:M27)</f>
        <v>25.16</v>
      </c>
    </row>
    <row r="29" customFormat="false" ht="15" hidden="false" customHeight="false" outlineLevel="0" collapsed="false">
      <c r="A29" s="22" t="s">
        <v>253</v>
      </c>
    </row>
  </sheetData>
  <dataValidations count="2">
    <dataValidation allowBlank="false" errorStyle="stop" operator="between" showDropDown="false" showErrorMessage="false" showInputMessage="false" sqref="U5:U27" type="list">
      <formula1>"Open,Raised with AWB,In base scope,Change request,Offset agreed,PHI internal,Closed"</formula1>
      <formula2>0</formula2>
    </dataValidation>
    <dataValidation allowBlank="true" errorStyle="stop" operator="between" showDropDown="false" showErrorMessage="false" showInputMessage="false" sqref="T5:T27" type="list">
      <formula1>"Include in base scope,Design change at BRD (no cost),Change request,Offset against other item,PHI to handle,Drop"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38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48"/>
  </cols>
  <sheetData>
    <row r="1" customFormat="false" ht="17.35" hidden="false" customHeight="false" outlineLevel="0" collapsed="false">
      <c r="A1" s="5" t="s">
        <v>254</v>
      </c>
    </row>
    <row r="2" customFormat="false" ht="15" hidden="false" customHeight="false" outlineLevel="0" collapsed="false">
      <c r="A2" s="6" t="s">
        <v>255</v>
      </c>
    </row>
    <row r="4" customFormat="false" ht="46.25" hidden="false" customHeight="false" outlineLevel="0" collapsed="false">
      <c r="A4" s="9" t="s">
        <v>256</v>
      </c>
      <c r="B4" s="9" t="s">
        <v>257</v>
      </c>
      <c r="C4" s="9" t="s">
        <v>258</v>
      </c>
      <c r="D4" s="9" t="s">
        <v>259</v>
      </c>
      <c r="E4" s="9" t="s">
        <v>260</v>
      </c>
      <c r="F4" s="9" t="s">
        <v>261</v>
      </c>
      <c r="G4" s="9" t="s">
        <v>262</v>
      </c>
    </row>
    <row r="5" customFormat="false" ht="15" hidden="false" customHeight="false" outlineLevel="0" collapsed="false">
      <c r="A5" s="24" t="n">
        <v>1</v>
      </c>
      <c r="B5" s="24" t="s">
        <v>263</v>
      </c>
      <c r="C5" s="24" t="s">
        <v>264</v>
      </c>
      <c r="D5" s="36" t="n">
        <v>4.32</v>
      </c>
      <c r="E5" s="24"/>
      <c r="F5" s="37" t="s">
        <v>265</v>
      </c>
      <c r="G5" s="24"/>
    </row>
    <row r="6" customFormat="false" ht="15" hidden="false" customHeight="false" outlineLevel="0" collapsed="false">
      <c r="A6" s="24" t="n">
        <v>2</v>
      </c>
      <c r="B6" s="24" t="s">
        <v>263</v>
      </c>
      <c r="C6" s="24" t="s">
        <v>266</v>
      </c>
      <c r="D6" s="36" t="n">
        <v>5.76</v>
      </c>
      <c r="E6" s="24"/>
      <c r="F6" s="37" t="s">
        <v>265</v>
      </c>
      <c r="G6" s="24"/>
    </row>
    <row r="7" customFormat="false" ht="15" hidden="false" customHeight="false" outlineLevel="0" collapsed="false">
      <c r="A7" s="24" t="n">
        <v>3</v>
      </c>
      <c r="B7" s="24" t="s">
        <v>263</v>
      </c>
      <c r="C7" s="24" t="s">
        <v>267</v>
      </c>
      <c r="D7" s="36" t="n">
        <v>2.88</v>
      </c>
      <c r="E7" s="24"/>
      <c r="F7" s="37" t="s">
        <v>265</v>
      </c>
      <c r="G7" s="24"/>
    </row>
    <row r="8" customFormat="false" ht="15" hidden="false" customHeight="false" outlineLevel="0" collapsed="false">
      <c r="A8" s="24" t="n">
        <v>4</v>
      </c>
      <c r="B8" s="24" t="s">
        <v>263</v>
      </c>
      <c r="C8" s="24" t="s">
        <v>268</v>
      </c>
      <c r="D8" s="36" t="n">
        <v>2.88</v>
      </c>
      <c r="E8" s="24"/>
      <c r="F8" s="37" t="s">
        <v>265</v>
      </c>
      <c r="G8" s="24"/>
    </row>
    <row r="9" customFormat="false" ht="15" hidden="false" customHeight="false" outlineLevel="0" collapsed="false">
      <c r="A9" s="24" t="n">
        <v>5</v>
      </c>
      <c r="B9" s="24" t="s">
        <v>263</v>
      </c>
      <c r="C9" s="24" t="s">
        <v>269</v>
      </c>
      <c r="D9" s="36" t="n">
        <v>5.76</v>
      </c>
      <c r="E9" s="24"/>
      <c r="F9" s="37" t="s">
        <v>265</v>
      </c>
      <c r="G9" s="24"/>
    </row>
    <row r="10" customFormat="false" ht="15" hidden="false" customHeight="false" outlineLevel="0" collapsed="false">
      <c r="A10" s="24" t="n">
        <v>6</v>
      </c>
      <c r="B10" s="24" t="s">
        <v>263</v>
      </c>
      <c r="C10" s="24" t="s">
        <v>270</v>
      </c>
      <c r="D10" s="36" t="n">
        <v>4.32</v>
      </c>
      <c r="E10" s="24"/>
      <c r="F10" s="37" t="s">
        <v>265</v>
      </c>
      <c r="G10" s="24"/>
    </row>
    <row r="11" customFormat="false" ht="15" hidden="false" customHeight="false" outlineLevel="0" collapsed="false">
      <c r="A11" s="24" t="n">
        <v>7</v>
      </c>
      <c r="B11" s="24" t="s">
        <v>271</v>
      </c>
      <c r="C11" s="24" t="s">
        <v>272</v>
      </c>
      <c r="D11" s="36" t="n">
        <v>5.76</v>
      </c>
      <c r="E11" s="24" t="s">
        <v>97</v>
      </c>
      <c r="F11" s="30" t="s">
        <v>273</v>
      </c>
      <c r="G11" s="24"/>
    </row>
    <row r="12" customFormat="false" ht="15" hidden="false" customHeight="false" outlineLevel="0" collapsed="false">
      <c r="A12" s="24" t="n">
        <v>8</v>
      </c>
      <c r="B12" s="24" t="s">
        <v>271</v>
      </c>
      <c r="C12" s="24" t="s">
        <v>274</v>
      </c>
      <c r="D12" s="36" t="n">
        <v>4.32</v>
      </c>
      <c r="E12" s="24"/>
      <c r="F12" s="37" t="s">
        <v>265</v>
      </c>
      <c r="G12" s="24"/>
    </row>
    <row r="13" customFormat="false" ht="15" hidden="false" customHeight="false" outlineLevel="0" collapsed="false">
      <c r="A13" s="24" t="n">
        <v>9</v>
      </c>
      <c r="B13" s="24" t="s">
        <v>275</v>
      </c>
      <c r="C13" s="24" t="s">
        <v>276</v>
      </c>
      <c r="D13" s="36" t="n">
        <v>4.32</v>
      </c>
      <c r="E13" s="24" t="s">
        <v>112</v>
      </c>
      <c r="F13" s="27" t="s">
        <v>277</v>
      </c>
      <c r="G13" s="24"/>
    </row>
    <row r="14" customFormat="false" ht="15" hidden="false" customHeight="false" outlineLevel="0" collapsed="false">
      <c r="A14" s="24" t="n">
        <v>10</v>
      </c>
      <c r="B14" s="24" t="s">
        <v>275</v>
      </c>
      <c r="C14" s="24" t="s">
        <v>278</v>
      </c>
      <c r="D14" s="36" t="n">
        <v>4.32</v>
      </c>
      <c r="E14" s="24" t="s">
        <v>112</v>
      </c>
      <c r="F14" s="27" t="s">
        <v>277</v>
      </c>
      <c r="G14" s="24"/>
    </row>
    <row r="15" customFormat="false" ht="15" hidden="false" customHeight="false" outlineLevel="0" collapsed="false">
      <c r="A15" s="24" t="n">
        <v>11</v>
      </c>
      <c r="B15" s="24" t="s">
        <v>275</v>
      </c>
      <c r="C15" s="24" t="s">
        <v>279</v>
      </c>
      <c r="D15" s="36" t="n">
        <v>4.32</v>
      </c>
      <c r="E15" s="24" t="s">
        <v>112</v>
      </c>
      <c r="F15" s="27" t="s">
        <v>277</v>
      </c>
      <c r="G15" s="24"/>
    </row>
    <row r="16" customFormat="false" ht="15" hidden="false" customHeight="false" outlineLevel="0" collapsed="false">
      <c r="A16" s="24" t="n">
        <v>12</v>
      </c>
      <c r="B16" s="24" t="s">
        <v>275</v>
      </c>
      <c r="C16" s="24" t="s">
        <v>280</v>
      </c>
      <c r="D16" s="36" t="n">
        <v>5.76</v>
      </c>
      <c r="E16" s="24" t="s">
        <v>112</v>
      </c>
      <c r="F16" s="27" t="s">
        <v>277</v>
      </c>
      <c r="G16" s="24"/>
    </row>
    <row r="17" customFormat="false" ht="15" hidden="false" customHeight="false" outlineLevel="0" collapsed="false">
      <c r="A17" s="24" t="n">
        <v>13</v>
      </c>
      <c r="B17" s="24" t="s">
        <v>275</v>
      </c>
      <c r="C17" s="24" t="s">
        <v>281</v>
      </c>
      <c r="D17" s="36" t="n">
        <v>4.32</v>
      </c>
      <c r="E17" s="24" t="s">
        <v>112</v>
      </c>
      <c r="F17" s="27" t="s">
        <v>277</v>
      </c>
      <c r="G17" s="24"/>
    </row>
    <row r="18" customFormat="false" ht="15" hidden="false" customHeight="false" outlineLevel="0" collapsed="false">
      <c r="A18" s="24" t="n">
        <v>14</v>
      </c>
      <c r="B18" s="24" t="s">
        <v>275</v>
      </c>
      <c r="C18" s="24" t="s">
        <v>282</v>
      </c>
      <c r="D18" s="36" t="n">
        <v>4.32</v>
      </c>
      <c r="E18" s="24" t="s">
        <v>112</v>
      </c>
      <c r="F18" s="27" t="s">
        <v>277</v>
      </c>
      <c r="G18" s="24"/>
    </row>
    <row r="19" customFormat="false" ht="15" hidden="false" customHeight="false" outlineLevel="0" collapsed="false">
      <c r="A19" s="24" t="n">
        <v>15</v>
      </c>
      <c r="B19" s="24" t="s">
        <v>275</v>
      </c>
      <c r="C19" s="24" t="s">
        <v>283</v>
      </c>
      <c r="D19" s="36" t="n">
        <v>4.32</v>
      </c>
      <c r="E19" s="24" t="s">
        <v>112</v>
      </c>
      <c r="F19" s="27" t="s">
        <v>277</v>
      </c>
      <c r="G19" s="24"/>
    </row>
    <row r="20" customFormat="false" ht="15" hidden="false" customHeight="false" outlineLevel="0" collapsed="false">
      <c r="A20" s="24" t="n">
        <v>16</v>
      </c>
      <c r="B20" s="24" t="s">
        <v>284</v>
      </c>
      <c r="C20" s="24" t="s">
        <v>285</v>
      </c>
      <c r="D20" s="36" t="n">
        <v>5.76</v>
      </c>
      <c r="E20" s="24"/>
      <c r="F20" s="37" t="s">
        <v>265</v>
      </c>
      <c r="G20" s="24"/>
    </row>
    <row r="21" customFormat="false" ht="15" hidden="false" customHeight="false" outlineLevel="0" collapsed="false">
      <c r="A21" s="24" t="n">
        <v>17</v>
      </c>
      <c r="B21" s="24" t="s">
        <v>284</v>
      </c>
      <c r="C21" s="24" t="s">
        <v>286</v>
      </c>
      <c r="D21" s="36" t="n">
        <v>4.32</v>
      </c>
      <c r="E21" s="24"/>
      <c r="F21" s="37" t="s">
        <v>265</v>
      </c>
      <c r="G21" s="24"/>
    </row>
    <row r="22" customFormat="false" ht="15" hidden="false" customHeight="false" outlineLevel="0" collapsed="false">
      <c r="A22" s="24" t="n">
        <v>18</v>
      </c>
      <c r="B22" s="24" t="s">
        <v>284</v>
      </c>
      <c r="C22" s="24" t="s">
        <v>287</v>
      </c>
      <c r="D22" s="36" t="n">
        <v>4.32</v>
      </c>
      <c r="E22" s="24"/>
      <c r="F22" s="37" t="s">
        <v>265</v>
      </c>
      <c r="G22" s="24"/>
    </row>
    <row r="23" customFormat="false" ht="15" hidden="false" customHeight="false" outlineLevel="0" collapsed="false">
      <c r="A23" s="24" t="n">
        <v>19</v>
      </c>
      <c r="B23" s="24" t="s">
        <v>284</v>
      </c>
      <c r="C23" s="24" t="s">
        <v>288</v>
      </c>
      <c r="D23" s="36" t="n">
        <v>4.32</v>
      </c>
      <c r="E23" s="24"/>
      <c r="F23" s="37" t="s">
        <v>265</v>
      </c>
      <c r="G23" s="24"/>
    </row>
    <row r="24" customFormat="false" ht="15" hidden="false" customHeight="false" outlineLevel="0" collapsed="false">
      <c r="A24" s="24" t="n">
        <v>20</v>
      </c>
      <c r="B24" s="24" t="s">
        <v>284</v>
      </c>
      <c r="C24" s="24" t="s">
        <v>289</v>
      </c>
      <c r="D24" s="36" t="n">
        <v>7.2</v>
      </c>
      <c r="E24" s="24" t="s">
        <v>97</v>
      </c>
      <c r="F24" s="30" t="s">
        <v>273</v>
      </c>
      <c r="G24" s="24"/>
    </row>
    <row r="25" customFormat="false" ht="15" hidden="false" customHeight="false" outlineLevel="0" collapsed="false">
      <c r="A25" s="24" t="n">
        <v>21</v>
      </c>
      <c r="B25" s="24" t="s">
        <v>284</v>
      </c>
      <c r="C25" s="24" t="s">
        <v>290</v>
      </c>
      <c r="D25" s="36" t="n">
        <v>5.76</v>
      </c>
      <c r="E25" s="24" t="s">
        <v>291</v>
      </c>
      <c r="F25" s="30" t="s">
        <v>273</v>
      </c>
      <c r="G25" s="24"/>
    </row>
    <row r="26" customFormat="false" ht="15" hidden="false" customHeight="false" outlineLevel="0" collapsed="false">
      <c r="A26" s="24" t="n">
        <v>22</v>
      </c>
      <c r="B26" s="24" t="s">
        <v>284</v>
      </c>
      <c r="C26" s="24" t="s">
        <v>292</v>
      </c>
      <c r="D26" s="36" t="n">
        <v>7.2</v>
      </c>
      <c r="E26" s="24"/>
      <c r="F26" s="37" t="s">
        <v>265</v>
      </c>
      <c r="G26" s="24"/>
    </row>
    <row r="27" customFormat="false" ht="23.85" hidden="false" customHeight="false" outlineLevel="0" collapsed="false">
      <c r="A27" s="24" t="n">
        <v>23</v>
      </c>
      <c r="B27" s="24" t="s">
        <v>293</v>
      </c>
      <c r="C27" s="24" t="s">
        <v>294</v>
      </c>
      <c r="D27" s="36" t="n">
        <v>8.64</v>
      </c>
      <c r="E27" s="24"/>
      <c r="F27" s="37" t="s">
        <v>265</v>
      </c>
      <c r="G27" s="24"/>
    </row>
    <row r="28" customFormat="false" ht="23.85" hidden="false" customHeight="false" outlineLevel="0" collapsed="false">
      <c r="A28" s="24" t="n">
        <v>24</v>
      </c>
      <c r="B28" s="24" t="s">
        <v>293</v>
      </c>
      <c r="C28" s="24" t="s">
        <v>295</v>
      </c>
      <c r="D28" s="36" t="n">
        <v>8.64</v>
      </c>
      <c r="E28" s="24" t="s">
        <v>105</v>
      </c>
      <c r="F28" s="30" t="s">
        <v>273</v>
      </c>
      <c r="G28" s="24"/>
    </row>
    <row r="29" customFormat="false" ht="23.85" hidden="false" customHeight="false" outlineLevel="0" collapsed="false">
      <c r="A29" s="24" t="n">
        <v>25</v>
      </c>
      <c r="B29" s="24" t="s">
        <v>293</v>
      </c>
      <c r="C29" s="24" t="s">
        <v>296</v>
      </c>
      <c r="D29" s="36" t="n">
        <v>8.64</v>
      </c>
      <c r="E29" s="24"/>
      <c r="F29" s="37" t="s">
        <v>265</v>
      </c>
      <c r="G29" s="24"/>
    </row>
    <row r="30" customFormat="false" ht="23.85" hidden="false" customHeight="false" outlineLevel="0" collapsed="false">
      <c r="A30" s="24" t="n">
        <v>26</v>
      </c>
      <c r="B30" s="24" t="s">
        <v>293</v>
      </c>
      <c r="C30" s="24" t="s">
        <v>297</v>
      </c>
      <c r="D30" s="36" t="n">
        <v>7.2</v>
      </c>
      <c r="E30" s="24" t="s">
        <v>105</v>
      </c>
      <c r="F30" s="30" t="s">
        <v>273</v>
      </c>
      <c r="G30" s="24"/>
    </row>
    <row r="31" customFormat="false" ht="15" hidden="false" customHeight="false" outlineLevel="0" collapsed="false">
      <c r="A31" s="24" t="n">
        <v>27</v>
      </c>
      <c r="B31" s="24" t="s">
        <v>298</v>
      </c>
      <c r="C31" s="24" t="s">
        <v>299</v>
      </c>
      <c r="D31" s="36" t="n">
        <v>4.32</v>
      </c>
      <c r="E31" s="24"/>
      <c r="F31" s="37" t="s">
        <v>265</v>
      </c>
      <c r="G31" s="24"/>
    </row>
    <row r="32" customFormat="false" ht="15" hidden="false" customHeight="false" outlineLevel="0" collapsed="false">
      <c r="A32" s="24" t="n">
        <v>28</v>
      </c>
      <c r="B32" s="24" t="s">
        <v>298</v>
      </c>
      <c r="C32" s="24" t="s">
        <v>300</v>
      </c>
      <c r="D32" s="36" t="n">
        <v>4.32</v>
      </c>
      <c r="E32" s="24"/>
      <c r="F32" s="37" t="s">
        <v>265</v>
      </c>
      <c r="G32" s="24"/>
    </row>
    <row r="33" customFormat="false" ht="15" hidden="false" customHeight="false" outlineLevel="0" collapsed="false">
      <c r="A33" s="24" t="n">
        <v>29</v>
      </c>
      <c r="B33" s="24" t="s">
        <v>298</v>
      </c>
      <c r="C33" s="24" t="s">
        <v>301</v>
      </c>
      <c r="D33" s="36" t="n">
        <v>5.76</v>
      </c>
      <c r="E33" s="24" t="s">
        <v>302</v>
      </c>
      <c r="F33" s="30" t="s">
        <v>273</v>
      </c>
      <c r="G33" s="24"/>
    </row>
    <row r="34" customFormat="false" ht="15" hidden="false" customHeight="false" outlineLevel="0" collapsed="false">
      <c r="A34" s="24" t="n">
        <v>30</v>
      </c>
      <c r="B34" s="24" t="s">
        <v>298</v>
      </c>
      <c r="C34" s="24" t="s">
        <v>303</v>
      </c>
      <c r="D34" s="36" t="n">
        <v>7.2</v>
      </c>
      <c r="E34" s="24" t="s">
        <v>128</v>
      </c>
      <c r="F34" s="27" t="s">
        <v>277</v>
      </c>
      <c r="G34" s="24"/>
    </row>
    <row r="35" customFormat="false" ht="15" hidden="false" customHeight="false" outlineLevel="0" collapsed="false">
      <c r="A35" s="24" t="n">
        <v>31</v>
      </c>
      <c r="B35" s="24" t="s">
        <v>304</v>
      </c>
      <c r="C35" s="24" t="s">
        <v>305</v>
      </c>
      <c r="D35" s="36" t="n">
        <v>7.2</v>
      </c>
      <c r="E35" s="24" t="s">
        <v>142</v>
      </c>
      <c r="F35" s="30" t="s">
        <v>273</v>
      </c>
      <c r="G35" s="24"/>
    </row>
    <row r="36" customFormat="false" ht="15" hidden="false" customHeight="false" outlineLevel="0" collapsed="false">
      <c r="A36" s="24" t="n">
        <v>32</v>
      </c>
      <c r="B36" s="24" t="s">
        <v>304</v>
      </c>
      <c r="C36" s="24" t="s">
        <v>306</v>
      </c>
      <c r="D36" s="36" t="n">
        <v>7.2</v>
      </c>
      <c r="E36" s="24" t="s">
        <v>142</v>
      </c>
      <c r="F36" s="30" t="s">
        <v>273</v>
      </c>
      <c r="G36" s="24"/>
    </row>
    <row r="37" customFormat="false" ht="23.85" hidden="false" customHeight="false" outlineLevel="0" collapsed="false">
      <c r="A37" s="24" t="n">
        <v>33</v>
      </c>
      <c r="B37" s="24" t="s">
        <v>304</v>
      </c>
      <c r="C37" s="24" t="s">
        <v>307</v>
      </c>
      <c r="D37" s="36" t="n">
        <v>7.2</v>
      </c>
      <c r="E37" s="24" t="s">
        <v>308</v>
      </c>
      <c r="F37" s="33" t="s">
        <v>309</v>
      </c>
      <c r="G37" s="24" t="s">
        <v>310</v>
      </c>
    </row>
    <row r="38" customFormat="false" ht="15" hidden="false" customHeight="false" outlineLevel="0" collapsed="false">
      <c r="A38" s="24" t="n">
        <v>34</v>
      </c>
      <c r="B38" s="24" t="s">
        <v>304</v>
      </c>
      <c r="C38" s="24" t="s">
        <v>311</v>
      </c>
      <c r="D38" s="36" t="n">
        <v>7.2</v>
      </c>
      <c r="E38" s="24" t="s">
        <v>142</v>
      </c>
      <c r="F38" s="30" t="s">
        <v>273</v>
      </c>
      <c r="G38" s="24"/>
    </row>
    <row r="39" customFormat="false" ht="15" hidden="false" customHeight="false" outlineLevel="0" collapsed="false">
      <c r="A39" s="24" t="n">
        <v>35</v>
      </c>
      <c r="B39" s="24" t="s">
        <v>304</v>
      </c>
      <c r="C39" s="24" t="s">
        <v>312</v>
      </c>
      <c r="D39" s="36" t="n">
        <v>7.2</v>
      </c>
      <c r="E39" s="24" t="s">
        <v>142</v>
      </c>
      <c r="F39" s="30" t="s">
        <v>273</v>
      </c>
      <c r="G39" s="24"/>
    </row>
    <row r="40" customFormat="false" ht="15" hidden="false" customHeight="false" outlineLevel="0" collapsed="false">
      <c r="A40" s="24" t="n">
        <v>36</v>
      </c>
      <c r="B40" s="24" t="s">
        <v>304</v>
      </c>
      <c r="C40" s="24" t="s">
        <v>313</v>
      </c>
      <c r="D40" s="36" t="n">
        <v>7.2</v>
      </c>
      <c r="E40" s="24" t="s">
        <v>165</v>
      </c>
      <c r="F40" s="30" t="s">
        <v>273</v>
      </c>
      <c r="G40" s="24"/>
    </row>
    <row r="41" customFormat="false" ht="23.85" hidden="false" customHeight="false" outlineLevel="0" collapsed="false">
      <c r="A41" s="24" t="n">
        <v>37</v>
      </c>
      <c r="B41" s="24" t="s">
        <v>304</v>
      </c>
      <c r="C41" s="24" t="s">
        <v>314</v>
      </c>
      <c r="D41" s="36" t="n">
        <v>5.76</v>
      </c>
      <c r="E41" s="24" t="s">
        <v>112</v>
      </c>
      <c r="F41" s="33" t="s">
        <v>315</v>
      </c>
      <c r="G41" s="24" t="s">
        <v>316</v>
      </c>
    </row>
    <row r="42" customFormat="false" ht="15" hidden="false" customHeight="false" outlineLevel="0" collapsed="false">
      <c r="A42" s="24" t="n">
        <v>38</v>
      </c>
      <c r="B42" s="24" t="s">
        <v>304</v>
      </c>
      <c r="C42" s="24" t="s">
        <v>317</v>
      </c>
      <c r="D42" s="36" t="n">
        <v>5.76</v>
      </c>
      <c r="E42" s="24"/>
      <c r="F42" s="37" t="s">
        <v>265</v>
      </c>
      <c r="G42" s="24"/>
    </row>
    <row r="43" customFormat="false" ht="15" hidden="false" customHeight="false" outlineLevel="0" collapsed="false">
      <c r="A43" s="24" t="n">
        <v>39</v>
      </c>
      <c r="B43" s="24" t="s">
        <v>304</v>
      </c>
      <c r="C43" s="24" t="s">
        <v>318</v>
      </c>
      <c r="D43" s="36" t="n">
        <v>8.64</v>
      </c>
      <c r="E43" s="24" t="s">
        <v>173</v>
      </c>
      <c r="F43" s="30" t="s">
        <v>273</v>
      </c>
      <c r="G43" s="24"/>
    </row>
    <row r="44" customFormat="false" ht="15" hidden="false" customHeight="false" outlineLevel="0" collapsed="false">
      <c r="A44" s="24" t="n">
        <v>40</v>
      </c>
      <c r="B44" s="24" t="s">
        <v>319</v>
      </c>
      <c r="C44" s="24" t="s">
        <v>320</v>
      </c>
      <c r="D44" s="36" t="n">
        <v>4.32</v>
      </c>
      <c r="E44" s="24"/>
      <c r="F44" s="37" t="s">
        <v>265</v>
      </c>
      <c r="G44" s="24"/>
    </row>
    <row r="45" customFormat="false" ht="15" hidden="false" customHeight="false" outlineLevel="0" collapsed="false">
      <c r="A45" s="24" t="n">
        <v>41</v>
      </c>
      <c r="B45" s="24" t="s">
        <v>319</v>
      </c>
      <c r="C45" s="24" t="s">
        <v>321</v>
      </c>
      <c r="D45" s="36" t="n">
        <v>8.64</v>
      </c>
      <c r="E45" s="24" t="s">
        <v>181</v>
      </c>
      <c r="F45" s="32" t="s">
        <v>322</v>
      </c>
      <c r="G45" s="24"/>
    </row>
    <row r="46" customFormat="false" ht="15" hidden="false" customHeight="false" outlineLevel="0" collapsed="false">
      <c r="A46" s="24" t="n">
        <v>42</v>
      </c>
      <c r="B46" s="24" t="s">
        <v>319</v>
      </c>
      <c r="C46" s="24" t="s">
        <v>323</v>
      </c>
      <c r="D46" s="36" t="n">
        <v>4.32</v>
      </c>
      <c r="E46" s="24" t="s">
        <v>181</v>
      </c>
      <c r="F46" s="32" t="s">
        <v>322</v>
      </c>
      <c r="G46" s="24"/>
    </row>
    <row r="47" customFormat="false" ht="15" hidden="false" customHeight="false" outlineLevel="0" collapsed="false">
      <c r="A47" s="24" t="n">
        <v>43</v>
      </c>
      <c r="B47" s="24" t="s">
        <v>319</v>
      </c>
      <c r="C47" s="24" t="s">
        <v>324</v>
      </c>
      <c r="D47" s="36" t="n">
        <v>11.52</v>
      </c>
      <c r="E47" s="24" t="s">
        <v>325</v>
      </c>
      <c r="F47" s="30" t="s">
        <v>273</v>
      </c>
      <c r="G47" s="24"/>
    </row>
    <row r="48" customFormat="false" ht="15" hidden="false" customHeight="false" outlineLevel="0" collapsed="false">
      <c r="A48" s="24" t="n">
        <v>44</v>
      </c>
      <c r="B48" s="24" t="s">
        <v>319</v>
      </c>
      <c r="C48" s="24" t="s">
        <v>326</v>
      </c>
      <c r="D48" s="36" t="n">
        <v>7.2</v>
      </c>
      <c r="E48" s="24" t="s">
        <v>181</v>
      </c>
      <c r="F48" s="32" t="s">
        <v>322</v>
      </c>
      <c r="G48" s="24"/>
    </row>
    <row r="49" customFormat="false" ht="15" hidden="false" customHeight="false" outlineLevel="0" collapsed="false">
      <c r="A49" s="24" t="n">
        <v>45</v>
      </c>
      <c r="B49" s="24" t="s">
        <v>319</v>
      </c>
      <c r="C49" s="24" t="s">
        <v>327</v>
      </c>
      <c r="D49" s="36" t="n">
        <v>7.2</v>
      </c>
      <c r="E49" s="24" t="s">
        <v>328</v>
      </c>
      <c r="F49" s="30" t="s">
        <v>273</v>
      </c>
      <c r="G49" s="24"/>
    </row>
    <row r="50" customFormat="false" ht="15" hidden="false" customHeight="false" outlineLevel="0" collapsed="false">
      <c r="A50" s="24" t="n">
        <v>46</v>
      </c>
      <c r="B50" s="24" t="s">
        <v>319</v>
      </c>
      <c r="C50" s="24" t="s">
        <v>329</v>
      </c>
      <c r="D50" s="36" t="n">
        <v>5.76</v>
      </c>
      <c r="E50" s="24" t="s">
        <v>181</v>
      </c>
      <c r="F50" s="32" t="s">
        <v>322</v>
      </c>
      <c r="G50" s="24"/>
    </row>
    <row r="51" customFormat="false" ht="15" hidden="false" customHeight="false" outlineLevel="0" collapsed="false">
      <c r="A51" s="24" t="n">
        <v>47</v>
      </c>
      <c r="B51" s="24" t="s">
        <v>319</v>
      </c>
      <c r="C51" s="24" t="s">
        <v>330</v>
      </c>
      <c r="D51" s="36" t="n">
        <v>5.76</v>
      </c>
      <c r="E51" s="24" t="s">
        <v>181</v>
      </c>
      <c r="F51" s="32" t="s">
        <v>322</v>
      </c>
      <c r="G51" s="24"/>
    </row>
    <row r="52" customFormat="false" ht="15" hidden="false" customHeight="false" outlineLevel="0" collapsed="false">
      <c r="A52" s="24" t="n">
        <v>48</v>
      </c>
      <c r="B52" s="24" t="s">
        <v>331</v>
      </c>
      <c r="C52" s="24" t="s">
        <v>332</v>
      </c>
      <c r="D52" s="36" t="n">
        <v>4.32</v>
      </c>
      <c r="E52" s="24"/>
      <c r="F52" s="37" t="s">
        <v>265</v>
      </c>
      <c r="G52" s="24"/>
    </row>
    <row r="53" customFormat="false" ht="15" hidden="false" customHeight="false" outlineLevel="0" collapsed="false">
      <c r="A53" s="24" t="n">
        <v>49</v>
      </c>
      <c r="B53" s="24" t="s">
        <v>331</v>
      </c>
      <c r="C53" s="24" t="s">
        <v>333</v>
      </c>
      <c r="D53" s="36" t="n">
        <v>5.76</v>
      </c>
      <c r="E53" s="24" t="s">
        <v>136</v>
      </c>
      <c r="F53" s="32" t="s">
        <v>322</v>
      </c>
      <c r="G53" s="24"/>
    </row>
    <row r="54" customFormat="false" ht="15" hidden="false" customHeight="false" outlineLevel="0" collapsed="false">
      <c r="A54" s="24" t="n">
        <v>50</v>
      </c>
      <c r="B54" s="24" t="s">
        <v>331</v>
      </c>
      <c r="C54" s="24" t="s">
        <v>334</v>
      </c>
      <c r="D54" s="36" t="n">
        <v>5.76</v>
      </c>
      <c r="E54" s="24"/>
      <c r="F54" s="37" t="s">
        <v>265</v>
      </c>
      <c r="G54" s="24"/>
    </row>
    <row r="55" customFormat="false" ht="15" hidden="false" customHeight="false" outlineLevel="0" collapsed="false">
      <c r="A55" s="24" t="n">
        <v>51</v>
      </c>
      <c r="B55" s="24" t="s">
        <v>331</v>
      </c>
      <c r="C55" s="24" t="s">
        <v>335</v>
      </c>
      <c r="D55" s="36" t="n">
        <v>7.2</v>
      </c>
      <c r="E55" s="24"/>
      <c r="F55" s="37" t="s">
        <v>265</v>
      </c>
      <c r="G55" s="24"/>
    </row>
    <row r="56" customFormat="false" ht="15" hidden="false" customHeight="false" outlineLevel="0" collapsed="false">
      <c r="A56" s="24" t="n">
        <v>52</v>
      </c>
      <c r="B56" s="24" t="s">
        <v>331</v>
      </c>
      <c r="C56" s="24" t="s">
        <v>336</v>
      </c>
      <c r="D56" s="36" t="n">
        <v>4.32</v>
      </c>
      <c r="E56" s="24"/>
      <c r="F56" s="37" t="s">
        <v>265</v>
      </c>
      <c r="G56" s="24"/>
    </row>
    <row r="57" customFormat="false" ht="15" hidden="false" customHeight="false" outlineLevel="0" collapsed="false">
      <c r="A57" s="24" t="n">
        <v>53</v>
      </c>
      <c r="B57" s="24" t="s">
        <v>331</v>
      </c>
      <c r="C57" s="24" t="s">
        <v>337</v>
      </c>
      <c r="D57" s="36" t="n">
        <v>5.76</v>
      </c>
      <c r="E57" s="24" t="s">
        <v>181</v>
      </c>
      <c r="F57" s="32" t="s">
        <v>322</v>
      </c>
      <c r="G57" s="24"/>
    </row>
    <row r="58" customFormat="false" ht="15" hidden="false" customHeight="false" outlineLevel="0" collapsed="false">
      <c r="A58" s="24" t="n">
        <v>54</v>
      </c>
      <c r="B58" s="24" t="s">
        <v>331</v>
      </c>
      <c r="C58" s="24" t="s">
        <v>338</v>
      </c>
      <c r="D58" s="36" t="n">
        <v>4.32</v>
      </c>
      <c r="E58" s="24" t="s">
        <v>142</v>
      </c>
      <c r="F58" s="30" t="s">
        <v>273</v>
      </c>
      <c r="G58" s="24"/>
    </row>
    <row r="59" customFormat="false" ht="15" hidden="false" customHeight="false" outlineLevel="0" collapsed="false">
      <c r="A59" s="24" t="n">
        <v>55</v>
      </c>
      <c r="B59" s="24" t="s">
        <v>331</v>
      </c>
      <c r="C59" s="24" t="s">
        <v>339</v>
      </c>
      <c r="D59" s="36" t="n">
        <v>4.32</v>
      </c>
      <c r="E59" s="24"/>
      <c r="F59" s="37" t="s">
        <v>265</v>
      </c>
      <c r="G59" s="24"/>
    </row>
    <row r="60" customFormat="false" ht="15" hidden="false" customHeight="false" outlineLevel="0" collapsed="false">
      <c r="A60" s="24" t="n">
        <v>56</v>
      </c>
      <c r="B60" s="24" t="s">
        <v>340</v>
      </c>
      <c r="C60" s="24" t="s">
        <v>341</v>
      </c>
      <c r="D60" s="36" t="n">
        <v>4.32</v>
      </c>
      <c r="E60" s="24"/>
      <c r="F60" s="37" t="s">
        <v>265</v>
      </c>
      <c r="G60" s="24"/>
    </row>
    <row r="61" customFormat="false" ht="15" hidden="false" customHeight="false" outlineLevel="0" collapsed="false">
      <c r="A61" s="24" t="n">
        <v>57</v>
      </c>
      <c r="B61" s="24" t="s">
        <v>340</v>
      </c>
      <c r="C61" s="24" t="s">
        <v>342</v>
      </c>
      <c r="D61" s="36" t="n">
        <v>5.76</v>
      </c>
      <c r="E61" s="24" t="s">
        <v>157</v>
      </c>
      <c r="F61" s="30" t="s">
        <v>273</v>
      </c>
      <c r="G61" s="24"/>
    </row>
    <row r="62" customFormat="false" ht="15" hidden="false" customHeight="false" outlineLevel="0" collapsed="false">
      <c r="A62" s="24" t="n">
        <v>58</v>
      </c>
      <c r="B62" s="24" t="s">
        <v>340</v>
      </c>
      <c r="C62" s="24" t="s">
        <v>343</v>
      </c>
      <c r="D62" s="36" t="n">
        <v>7.2</v>
      </c>
      <c r="E62" s="24" t="s">
        <v>157</v>
      </c>
      <c r="F62" s="30" t="s">
        <v>273</v>
      </c>
      <c r="G62" s="24"/>
    </row>
    <row r="63" customFormat="false" ht="15" hidden="false" customHeight="false" outlineLevel="0" collapsed="false">
      <c r="A63" s="24" t="n">
        <v>59</v>
      </c>
      <c r="B63" s="24" t="s">
        <v>340</v>
      </c>
      <c r="C63" s="24" t="s">
        <v>344</v>
      </c>
      <c r="D63" s="36" t="n">
        <v>5.76</v>
      </c>
      <c r="E63" s="24" t="s">
        <v>187</v>
      </c>
      <c r="F63" s="30" t="s">
        <v>273</v>
      </c>
      <c r="G63" s="24"/>
    </row>
    <row r="64" customFormat="false" ht="15" hidden="false" customHeight="false" outlineLevel="0" collapsed="false">
      <c r="A64" s="24" t="n">
        <v>60</v>
      </c>
      <c r="B64" s="24" t="s">
        <v>345</v>
      </c>
      <c r="C64" s="24" t="s">
        <v>346</v>
      </c>
      <c r="D64" s="36" t="n">
        <v>5.76</v>
      </c>
      <c r="E64" s="24" t="s">
        <v>347</v>
      </c>
      <c r="F64" s="30" t="s">
        <v>273</v>
      </c>
      <c r="G64" s="24"/>
    </row>
    <row r="65" customFormat="false" ht="15" hidden="false" customHeight="false" outlineLevel="0" collapsed="false">
      <c r="A65" s="24" t="n">
        <v>61</v>
      </c>
      <c r="B65" s="24" t="s">
        <v>345</v>
      </c>
      <c r="C65" s="24" t="s">
        <v>348</v>
      </c>
      <c r="D65" s="36" t="n">
        <v>5.76</v>
      </c>
      <c r="E65" s="24"/>
      <c r="F65" s="37" t="s">
        <v>265</v>
      </c>
      <c r="G65" s="24"/>
    </row>
    <row r="66" customFormat="false" ht="23.85" hidden="false" customHeight="false" outlineLevel="0" collapsed="false">
      <c r="A66" s="24" t="n">
        <v>62</v>
      </c>
      <c r="B66" s="24" t="s">
        <v>345</v>
      </c>
      <c r="C66" s="24" t="s">
        <v>349</v>
      </c>
      <c r="D66" s="36" t="n">
        <v>5.76</v>
      </c>
      <c r="E66" s="24" t="s">
        <v>88</v>
      </c>
      <c r="F66" s="33" t="s">
        <v>350</v>
      </c>
      <c r="G66" s="24" t="s">
        <v>351</v>
      </c>
    </row>
    <row r="67" customFormat="false" ht="23.85" hidden="false" customHeight="false" outlineLevel="0" collapsed="false">
      <c r="A67" s="24" t="n">
        <v>63</v>
      </c>
      <c r="B67" s="24" t="s">
        <v>345</v>
      </c>
      <c r="C67" s="24" t="s">
        <v>352</v>
      </c>
      <c r="D67" s="36" t="n">
        <v>5.76</v>
      </c>
      <c r="E67" s="24" t="s">
        <v>88</v>
      </c>
      <c r="F67" s="33" t="s">
        <v>350</v>
      </c>
      <c r="G67" s="24" t="s">
        <v>351</v>
      </c>
    </row>
    <row r="68" customFormat="false" ht="23.85" hidden="false" customHeight="false" outlineLevel="0" collapsed="false">
      <c r="A68" s="24" t="n">
        <v>64</v>
      </c>
      <c r="B68" s="24" t="s">
        <v>345</v>
      </c>
      <c r="C68" s="24" t="s">
        <v>353</v>
      </c>
      <c r="D68" s="36" t="n">
        <v>5.76</v>
      </c>
      <c r="E68" s="24" t="s">
        <v>88</v>
      </c>
      <c r="F68" s="33" t="s">
        <v>350</v>
      </c>
      <c r="G68" s="24" t="s">
        <v>351</v>
      </c>
    </row>
    <row r="69" customFormat="false" ht="15" hidden="false" customHeight="false" outlineLevel="0" collapsed="false">
      <c r="A69" s="24" t="n">
        <v>65</v>
      </c>
      <c r="B69" s="24" t="s">
        <v>345</v>
      </c>
      <c r="C69" s="24" t="s">
        <v>354</v>
      </c>
      <c r="D69" s="36" t="n">
        <v>4.32</v>
      </c>
      <c r="E69" s="24"/>
      <c r="F69" s="37" t="s">
        <v>265</v>
      </c>
      <c r="G69" s="24"/>
    </row>
    <row r="70" customFormat="false" ht="15" hidden="false" customHeight="false" outlineLevel="0" collapsed="false">
      <c r="A70" s="24" t="n">
        <v>66</v>
      </c>
      <c r="B70" s="24" t="s">
        <v>355</v>
      </c>
      <c r="C70" s="24" t="s">
        <v>356</v>
      </c>
      <c r="D70" s="36" t="n">
        <v>5.76</v>
      </c>
      <c r="E70" s="24" t="s">
        <v>128</v>
      </c>
      <c r="F70" s="27" t="s">
        <v>277</v>
      </c>
      <c r="G70" s="24"/>
    </row>
    <row r="71" customFormat="false" ht="15" hidden="false" customHeight="false" outlineLevel="0" collapsed="false">
      <c r="A71" s="24" t="n">
        <v>67</v>
      </c>
      <c r="B71" s="24" t="s">
        <v>355</v>
      </c>
      <c r="C71" s="24" t="s">
        <v>357</v>
      </c>
      <c r="D71" s="36" t="n">
        <v>7.2</v>
      </c>
      <c r="E71" s="24" t="s">
        <v>128</v>
      </c>
      <c r="F71" s="27" t="s">
        <v>277</v>
      </c>
      <c r="G71" s="24"/>
    </row>
    <row r="72" customFormat="false" ht="15" hidden="false" customHeight="false" outlineLevel="0" collapsed="false">
      <c r="A72" s="24" t="n">
        <v>68</v>
      </c>
      <c r="B72" s="24" t="s">
        <v>355</v>
      </c>
      <c r="C72" s="24" t="s">
        <v>358</v>
      </c>
      <c r="D72" s="36" t="n">
        <v>4.32</v>
      </c>
      <c r="E72" s="24" t="s">
        <v>128</v>
      </c>
      <c r="F72" s="27" t="s">
        <v>277</v>
      </c>
      <c r="G72" s="24"/>
    </row>
    <row r="73" customFormat="false" ht="15" hidden="false" customHeight="false" outlineLevel="0" collapsed="false">
      <c r="A73" s="24" t="n">
        <v>69</v>
      </c>
      <c r="B73" s="24" t="s">
        <v>355</v>
      </c>
      <c r="C73" s="24" t="s">
        <v>359</v>
      </c>
      <c r="D73" s="36" t="n">
        <v>4.32</v>
      </c>
      <c r="E73" s="24" t="s">
        <v>128</v>
      </c>
      <c r="F73" s="27" t="s">
        <v>277</v>
      </c>
      <c r="G73" s="24"/>
    </row>
    <row r="74" customFormat="false" ht="15" hidden="false" customHeight="false" outlineLevel="0" collapsed="false">
      <c r="A74" s="24" t="n">
        <v>70</v>
      </c>
      <c r="B74" s="24" t="s">
        <v>360</v>
      </c>
      <c r="C74" s="24" t="s">
        <v>361</v>
      </c>
      <c r="D74" s="36" t="n">
        <v>7.2</v>
      </c>
      <c r="E74" s="24" t="s">
        <v>112</v>
      </c>
      <c r="F74" s="27" t="s">
        <v>277</v>
      </c>
      <c r="G74" s="24"/>
    </row>
    <row r="75" customFormat="false" ht="15" hidden="false" customHeight="false" outlineLevel="0" collapsed="false">
      <c r="A75" s="24" t="n">
        <v>71</v>
      </c>
      <c r="B75" s="24" t="s">
        <v>360</v>
      </c>
      <c r="C75" s="24" t="s">
        <v>362</v>
      </c>
      <c r="D75" s="36" t="n">
        <v>5.76</v>
      </c>
      <c r="E75" s="24"/>
      <c r="F75" s="37" t="s">
        <v>265</v>
      </c>
      <c r="G75" s="24"/>
    </row>
    <row r="76" customFormat="false" ht="15" hidden="false" customHeight="false" outlineLevel="0" collapsed="false">
      <c r="A76" s="24" t="n">
        <v>72</v>
      </c>
      <c r="B76" s="24" t="s">
        <v>360</v>
      </c>
      <c r="C76" s="24" t="s">
        <v>363</v>
      </c>
      <c r="D76" s="36" t="n">
        <v>7.2</v>
      </c>
      <c r="E76" s="24" t="s">
        <v>208</v>
      </c>
      <c r="F76" s="30" t="s">
        <v>273</v>
      </c>
      <c r="G76" s="24"/>
    </row>
    <row r="77" customFormat="false" ht="15" hidden="false" customHeight="false" outlineLevel="0" collapsed="false">
      <c r="A77" s="24" t="n">
        <v>73</v>
      </c>
      <c r="B77" s="24" t="s">
        <v>360</v>
      </c>
      <c r="C77" s="24" t="s">
        <v>364</v>
      </c>
      <c r="D77" s="36" t="n">
        <v>5.76</v>
      </c>
      <c r="E77" s="24"/>
      <c r="F77" s="37" t="s">
        <v>265</v>
      </c>
      <c r="G77" s="24"/>
    </row>
    <row r="78" customFormat="false" ht="15" hidden="false" customHeight="false" outlineLevel="0" collapsed="false">
      <c r="A78" s="24" t="n">
        <v>74</v>
      </c>
      <c r="B78" s="24" t="s">
        <v>365</v>
      </c>
      <c r="C78" s="24" t="s">
        <v>366</v>
      </c>
      <c r="D78" s="36" t="n">
        <v>5.76</v>
      </c>
      <c r="E78" s="24"/>
      <c r="F78" s="37" t="s">
        <v>265</v>
      </c>
      <c r="G78" s="24"/>
    </row>
    <row r="79" customFormat="false" ht="15" hidden="false" customHeight="false" outlineLevel="0" collapsed="false">
      <c r="A79" s="24" t="n">
        <v>75</v>
      </c>
      <c r="B79" s="24" t="s">
        <v>365</v>
      </c>
      <c r="C79" s="24" t="s">
        <v>367</v>
      </c>
      <c r="D79" s="36" t="n">
        <v>5.76</v>
      </c>
      <c r="E79" s="24"/>
      <c r="F79" s="37" t="s">
        <v>265</v>
      </c>
      <c r="G79" s="24"/>
    </row>
    <row r="80" customFormat="false" ht="23.85" hidden="false" customHeight="false" outlineLevel="0" collapsed="false">
      <c r="A80" s="24" t="n">
        <v>76</v>
      </c>
      <c r="B80" s="24" t="s">
        <v>365</v>
      </c>
      <c r="C80" s="24" t="s">
        <v>368</v>
      </c>
      <c r="D80" s="36" t="n">
        <v>8.64</v>
      </c>
      <c r="E80" s="24" t="s">
        <v>150</v>
      </c>
      <c r="F80" s="33" t="s">
        <v>369</v>
      </c>
      <c r="G80" s="24" t="s">
        <v>370</v>
      </c>
    </row>
    <row r="81" customFormat="false" ht="15" hidden="false" customHeight="false" outlineLevel="0" collapsed="false">
      <c r="A81" s="24" t="n">
        <v>77</v>
      </c>
      <c r="B81" s="24" t="s">
        <v>365</v>
      </c>
      <c r="C81" s="24" t="s">
        <v>371</v>
      </c>
      <c r="D81" s="36" t="n">
        <v>5.76</v>
      </c>
      <c r="E81" s="24" t="s">
        <v>157</v>
      </c>
      <c r="F81" s="30" t="s">
        <v>273</v>
      </c>
      <c r="G81" s="24"/>
    </row>
    <row r="82" customFormat="false" ht="15" hidden="false" customHeight="false" outlineLevel="0" collapsed="false">
      <c r="A82" s="24" t="n">
        <v>78</v>
      </c>
      <c r="B82" s="24" t="s">
        <v>365</v>
      </c>
      <c r="C82" s="24" t="s">
        <v>372</v>
      </c>
      <c r="D82" s="36" t="n">
        <v>4.32</v>
      </c>
      <c r="E82" s="24"/>
      <c r="F82" s="37" t="s">
        <v>265</v>
      </c>
      <c r="G82" s="24"/>
    </row>
    <row r="83" customFormat="false" ht="15" hidden="false" customHeight="false" outlineLevel="0" collapsed="false">
      <c r="A83" s="24" t="n">
        <v>79</v>
      </c>
      <c r="B83" s="24" t="s">
        <v>365</v>
      </c>
      <c r="C83" s="24" t="s">
        <v>373</v>
      </c>
      <c r="D83" s="36" t="n">
        <v>4.32</v>
      </c>
      <c r="E83" s="24" t="s">
        <v>208</v>
      </c>
      <c r="F83" s="30" t="s">
        <v>273</v>
      </c>
      <c r="G83" s="24"/>
    </row>
    <row r="84" customFormat="false" ht="15" hidden="false" customHeight="false" outlineLevel="0" collapsed="false">
      <c r="A84" s="24" t="n">
        <v>80</v>
      </c>
      <c r="B84" s="24" t="s">
        <v>365</v>
      </c>
      <c r="C84" s="24" t="s">
        <v>374</v>
      </c>
      <c r="D84" s="36" t="n">
        <v>4.32</v>
      </c>
      <c r="E84" s="24"/>
      <c r="F84" s="37" t="s">
        <v>265</v>
      </c>
      <c r="G84" s="24"/>
    </row>
    <row r="85" customFormat="false" ht="15" hidden="false" customHeight="false" outlineLevel="0" collapsed="false">
      <c r="A85" s="24" t="n">
        <v>81</v>
      </c>
      <c r="B85" s="24" t="s">
        <v>375</v>
      </c>
      <c r="C85" s="24" t="s">
        <v>376</v>
      </c>
      <c r="D85" s="36" t="n">
        <v>5.76</v>
      </c>
      <c r="E85" s="24" t="s">
        <v>208</v>
      </c>
      <c r="F85" s="30" t="s">
        <v>273</v>
      </c>
      <c r="G85" s="24"/>
    </row>
    <row r="86" customFormat="false" ht="15" hidden="false" customHeight="false" outlineLevel="0" collapsed="false">
      <c r="A86" s="24" t="n">
        <v>82</v>
      </c>
      <c r="B86" s="24" t="s">
        <v>375</v>
      </c>
      <c r="C86" s="24" t="s">
        <v>377</v>
      </c>
      <c r="D86" s="36" t="n">
        <v>5.76</v>
      </c>
      <c r="E86" s="24" t="s">
        <v>208</v>
      </c>
      <c r="F86" s="30" t="s">
        <v>273</v>
      </c>
      <c r="G86" s="24"/>
    </row>
    <row r="87" customFormat="false" ht="15" hidden="false" customHeight="false" outlineLevel="0" collapsed="false">
      <c r="A87" s="24" t="n">
        <v>83</v>
      </c>
      <c r="B87" s="24" t="s">
        <v>375</v>
      </c>
      <c r="C87" s="24" t="s">
        <v>378</v>
      </c>
      <c r="D87" s="36" t="n">
        <v>5.76</v>
      </c>
      <c r="E87" s="24" t="s">
        <v>208</v>
      </c>
      <c r="F87" s="30" t="s">
        <v>273</v>
      </c>
      <c r="G87" s="24"/>
    </row>
    <row r="88" customFormat="false" ht="15" hidden="false" customHeight="false" outlineLevel="0" collapsed="false">
      <c r="A88" s="24" t="n">
        <v>84</v>
      </c>
      <c r="B88" s="24" t="s">
        <v>375</v>
      </c>
      <c r="C88" s="24" t="s">
        <v>379</v>
      </c>
      <c r="D88" s="36" t="n">
        <v>7.2</v>
      </c>
      <c r="E88" s="24" t="s">
        <v>208</v>
      </c>
      <c r="F88" s="30" t="s">
        <v>273</v>
      </c>
      <c r="G88" s="24"/>
    </row>
    <row r="89" customFormat="false" ht="15" hidden="false" customHeight="false" outlineLevel="0" collapsed="false">
      <c r="A89" s="24" t="n">
        <v>85</v>
      </c>
      <c r="B89" s="24" t="s">
        <v>375</v>
      </c>
      <c r="C89" s="24" t="s">
        <v>380</v>
      </c>
      <c r="D89" s="36" t="n">
        <v>5.76</v>
      </c>
      <c r="E89" s="24" t="s">
        <v>208</v>
      </c>
      <c r="F89" s="30" t="s">
        <v>273</v>
      </c>
      <c r="G89" s="24"/>
    </row>
    <row r="90" customFormat="false" ht="15" hidden="false" customHeight="false" outlineLevel="0" collapsed="false">
      <c r="A90" s="24" t="n">
        <v>86</v>
      </c>
      <c r="B90" s="24" t="s">
        <v>381</v>
      </c>
      <c r="C90" s="24" t="s">
        <v>382</v>
      </c>
      <c r="D90" s="36" t="n">
        <v>5.76</v>
      </c>
      <c r="E90" s="24" t="s">
        <v>97</v>
      </c>
      <c r="F90" s="30" t="s">
        <v>273</v>
      </c>
      <c r="G90" s="24"/>
    </row>
    <row r="91" customFormat="false" ht="15" hidden="false" customHeight="false" outlineLevel="0" collapsed="false">
      <c r="A91" s="24" t="n">
        <v>87</v>
      </c>
      <c r="B91" s="24" t="s">
        <v>381</v>
      </c>
      <c r="C91" s="24" t="s">
        <v>383</v>
      </c>
      <c r="D91" s="36" t="n">
        <v>4.32</v>
      </c>
      <c r="E91" s="24"/>
      <c r="F91" s="37" t="s">
        <v>265</v>
      </c>
      <c r="G91" s="24"/>
    </row>
    <row r="92" customFormat="false" ht="15" hidden="false" customHeight="false" outlineLevel="0" collapsed="false">
      <c r="A92" s="24" t="n">
        <v>88</v>
      </c>
      <c r="B92" s="24" t="s">
        <v>381</v>
      </c>
      <c r="C92" s="24" t="s">
        <v>384</v>
      </c>
      <c r="D92" s="36" t="n">
        <v>7.2</v>
      </c>
      <c r="E92" s="24" t="s">
        <v>223</v>
      </c>
      <c r="F92" s="27" t="s">
        <v>277</v>
      </c>
      <c r="G92" s="24"/>
    </row>
    <row r="93" customFormat="false" ht="15" hidden="false" customHeight="false" outlineLevel="0" collapsed="false">
      <c r="A93" s="24" t="n">
        <v>89</v>
      </c>
      <c r="B93" s="24" t="s">
        <v>381</v>
      </c>
      <c r="C93" s="24" t="s">
        <v>385</v>
      </c>
      <c r="D93" s="36" t="n">
        <v>5.76</v>
      </c>
      <c r="E93" s="24"/>
      <c r="F93" s="37" t="s">
        <v>265</v>
      </c>
      <c r="G93" s="24"/>
    </row>
    <row r="94" customFormat="false" ht="15" hidden="false" customHeight="false" outlineLevel="0" collapsed="false">
      <c r="A94" s="24" t="n">
        <v>90</v>
      </c>
      <c r="B94" s="24" t="s">
        <v>381</v>
      </c>
      <c r="C94" s="24" t="s">
        <v>386</v>
      </c>
      <c r="D94" s="36" t="n">
        <v>5.76</v>
      </c>
      <c r="E94" s="24"/>
      <c r="F94" s="37" t="s">
        <v>265</v>
      </c>
      <c r="G94" s="24"/>
    </row>
    <row r="95" customFormat="false" ht="15" hidden="false" customHeight="false" outlineLevel="0" collapsed="false">
      <c r="A95" s="24" t="n">
        <v>91</v>
      </c>
      <c r="B95" s="24" t="s">
        <v>381</v>
      </c>
      <c r="C95" s="24" t="s">
        <v>387</v>
      </c>
      <c r="D95" s="36" t="n">
        <v>5.76</v>
      </c>
      <c r="E95" s="24"/>
      <c r="F95" s="37" t="s">
        <v>265</v>
      </c>
      <c r="G95" s="24"/>
    </row>
    <row r="96" customFormat="false" ht="15" hidden="false" customHeight="false" outlineLevel="0" collapsed="false">
      <c r="A96" s="24" t="n">
        <v>92</v>
      </c>
      <c r="B96" s="24" t="s">
        <v>388</v>
      </c>
      <c r="C96" s="24" t="s">
        <v>389</v>
      </c>
      <c r="D96" s="36" t="n">
        <v>2.88</v>
      </c>
      <c r="E96" s="24"/>
      <c r="F96" s="37" t="s">
        <v>265</v>
      </c>
      <c r="G96" s="24"/>
    </row>
    <row r="97" customFormat="false" ht="15" hidden="false" customHeight="false" outlineLevel="0" collapsed="false">
      <c r="A97" s="24" t="n">
        <v>93</v>
      </c>
      <c r="B97" s="24" t="s">
        <v>388</v>
      </c>
      <c r="C97" s="24" t="s">
        <v>390</v>
      </c>
      <c r="D97" s="36" t="n">
        <v>2.88</v>
      </c>
      <c r="E97" s="24"/>
      <c r="F97" s="37" t="s">
        <v>265</v>
      </c>
      <c r="G97" s="24"/>
    </row>
    <row r="98" customFormat="false" ht="15" hidden="false" customHeight="false" outlineLevel="0" collapsed="false">
      <c r="A98" s="24" t="n">
        <v>94</v>
      </c>
      <c r="B98" s="24" t="s">
        <v>388</v>
      </c>
      <c r="C98" s="24" t="s">
        <v>391</v>
      </c>
      <c r="D98" s="36" t="n">
        <v>2.88</v>
      </c>
      <c r="E98" s="24"/>
      <c r="F98" s="37" t="s">
        <v>265</v>
      </c>
      <c r="G98" s="24"/>
    </row>
    <row r="99" customFormat="false" ht="15" hidden="false" customHeight="false" outlineLevel="0" collapsed="false">
      <c r="A99" s="24" t="n">
        <v>95</v>
      </c>
      <c r="B99" s="24" t="s">
        <v>388</v>
      </c>
      <c r="C99" s="24" t="s">
        <v>392</v>
      </c>
      <c r="D99" s="36" t="n">
        <v>2.88</v>
      </c>
      <c r="E99" s="24" t="s">
        <v>157</v>
      </c>
      <c r="F99" s="30" t="s">
        <v>273</v>
      </c>
      <c r="G99" s="24"/>
    </row>
    <row r="100" customFormat="false" ht="15" hidden="false" customHeight="false" outlineLevel="0" collapsed="false">
      <c r="A100" s="24" t="n">
        <v>96</v>
      </c>
      <c r="B100" s="24" t="s">
        <v>393</v>
      </c>
      <c r="C100" s="24" t="s">
        <v>394</v>
      </c>
      <c r="D100" s="36" t="n">
        <v>7.2</v>
      </c>
      <c r="E100" s="24" t="s">
        <v>173</v>
      </c>
      <c r="F100" s="30" t="s">
        <v>273</v>
      </c>
      <c r="G100" s="24"/>
    </row>
    <row r="101" customFormat="false" ht="23.85" hidden="false" customHeight="false" outlineLevel="0" collapsed="false">
      <c r="A101" s="24" t="n">
        <v>97</v>
      </c>
      <c r="B101" s="24" t="s">
        <v>393</v>
      </c>
      <c r="C101" s="24" t="s">
        <v>395</v>
      </c>
      <c r="D101" s="36" t="n">
        <v>8.64</v>
      </c>
      <c r="E101" s="24" t="s">
        <v>396</v>
      </c>
      <c r="F101" s="30" t="s">
        <v>273</v>
      </c>
      <c r="G101" s="24"/>
    </row>
    <row r="102" customFormat="false" ht="15" hidden="false" customHeight="false" outlineLevel="0" collapsed="false">
      <c r="A102" s="24" t="n">
        <v>98</v>
      </c>
      <c r="B102" s="24" t="s">
        <v>393</v>
      </c>
      <c r="C102" s="24" t="s">
        <v>397</v>
      </c>
      <c r="D102" s="36" t="n">
        <v>4.32</v>
      </c>
      <c r="E102" s="24" t="s">
        <v>157</v>
      </c>
      <c r="F102" s="30" t="s">
        <v>273</v>
      </c>
      <c r="G102" s="24"/>
    </row>
    <row r="103" customFormat="false" ht="23.85" hidden="false" customHeight="false" outlineLevel="0" collapsed="false">
      <c r="A103" s="24" t="n">
        <v>99</v>
      </c>
      <c r="B103" s="24" t="s">
        <v>398</v>
      </c>
      <c r="C103" s="24" t="s">
        <v>399</v>
      </c>
      <c r="D103" s="36" t="n">
        <v>8.64</v>
      </c>
      <c r="E103" s="24"/>
      <c r="F103" s="37" t="s">
        <v>265</v>
      </c>
      <c r="G103" s="24"/>
    </row>
    <row r="104" customFormat="false" ht="15" hidden="false" customHeight="false" outlineLevel="0" collapsed="false">
      <c r="A104" s="24" t="n">
        <v>100</v>
      </c>
      <c r="B104" s="24" t="s">
        <v>398</v>
      </c>
      <c r="C104" s="24" t="s">
        <v>400</v>
      </c>
      <c r="D104" s="36" t="n">
        <v>4.32</v>
      </c>
      <c r="E104" s="24" t="s">
        <v>230</v>
      </c>
      <c r="F104" s="30" t="s">
        <v>273</v>
      </c>
      <c r="G104" s="24"/>
    </row>
    <row r="106" customFormat="false" ht="15" hidden="false" customHeight="false" outlineLevel="0" collapsed="false">
      <c r="A106" s="7" t="s">
        <v>401</v>
      </c>
    </row>
    <row r="107" customFormat="false" ht="35.05" hidden="false" customHeight="false" outlineLevel="0" collapsed="false">
      <c r="A107" s="9" t="s">
        <v>261</v>
      </c>
      <c r="B107" s="9"/>
      <c r="C107" s="9" t="s">
        <v>402</v>
      </c>
      <c r="D107" s="9" t="s">
        <v>403</v>
      </c>
    </row>
    <row r="108" customFormat="false" ht="15" hidden="false" customHeight="false" outlineLevel="0" collapsed="false">
      <c r="A108" s="11" t="s">
        <v>265</v>
      </c>
      <c r="C108" s="11" t="n">
        <f aca="false">COUNTIF($F$5:$F$104,A108)</f>
        <v>40</v>
      </c>
      <c r="D108" s="38" t="n">
        <f aca="false">SUMIF($F$5:$F$104,A108,$D$5:$D$104)</f>
        <v>203.04</v>
      </c>
    </row>
    <row r="109" customFormat="false" ht="15" hidden="false" customHeight="false" outlineLevel="0" collapsed="false">
      <c r="A109" s="11" t="s">
        <v>322</v>
      </c>
      <c r="C109" s="11" t="n">
        <f aca="false">COUNTIF($F$5:$F$104,A109)</f>
        <v>7</v>
      </c>
      <c r="D109" s="38" t="n">
        <f aca="false">SUMIF($F$5:$F$104,A109,$D$5:$D$104)</f>
        <v>43.2</v>
      </c>
    </row>
    <row r="110" customFormat="false" ht="15" hidden="false" customHeight="false" outlineLevel="0" collapsed="false">
      <c r="A110" s="11" t="s">
        <v>273</v>
      </c>
      <c r="C110" s="11" t="n">
        <f aca="false">COUNTIF($F$5:$F$104,A110)</f>
        <v>33</v>
      </c>
      <c r="D110" s="38" t="n">
        <f aca="false">SUMIF($F$5:$F$104,A110,$D$5:$D$104)</f>
        <v>213.12</v>
      </c>
    </row>
    <row r="111" customFormat="false" ht="15" hidden="false" customHeight="false" outlineLevel="0" collapsed="false">
      <c r="A111" s="11" t="s">
        <v>277</v>
      </c>
      <c r="C111" s="11" t="n">
        <f aca="false">COUNTIF($F$5:$F$104,A111)</f>
        <v>14</v>
      </c>
      <c r="D111" s="38" t="n">
        <f aca="false">SUMIF($F$5:$F$104,A111,$D$5:$D$104)</f>
        <v>74.88</v>
      </c>
    </row>
    <row r="112" customFormat="false" ht="15" hidden="false" customHeight="false" outlineLevel="0" collapsed="false">
      <c r="A112" s="11" t="s">
        <v>315</v>
      </c>
      <c r="C112" s="11" t="n">
        <f aca="false">COUNTIF($F$5:$F$104,A112)</f>
        <v>1</v>
      </c>
      <c r="D112" s="38" t="n">
        <f aca="false">SUMIF($F$5:$F$104,A112,$D$5:$D$104)</f>
        <v>5.76</v>
      </c>
    </row>
    <row r="113" customFormat="false" ht="15" hidden="false" customHeight="false" outlineLevel="0" collapsed="false">
      <c r="A113" s="11" t="s">
        <v>309</v>
      </c>
      <c r="C113" s="11" t="n">
        <f aca="false">COUNTIF($F$5:$F$104,A113)</f>
        <v>1</v>
      </c>
      <c r="D113" s="38" t="n">
        <f aca="false">SUMIF($F$5:$F$104,A113,$D$5:$D$104)</f>
        <v>7.2</v>
      </c>
    </row>
    <row r="114" customFormat="false" ht="15" hidden="false" customHeight="false" outlineLevel="0" collapsed="false">
      <c r="A114" s="11" t="s">
        <v>350</v>
      </c>
      <c r="C114" s="11" t="n">
        <f aca="false">COUNTIF($F$5:$F$104,A114)</f>
        <v>3</v>
      </c>
      <c r="D114" s="38" t="n">
        <f aca="false">SUMIF($F$5:$F$104,A114,$D$5:$D$104)</f>
        <v>17.28</v>
      </c>
    </row>
    <row r="115" customFormat="false" ht="15" hidden="false" customHeight="false" outlineLevel="0" collapsed="false">
      <c r="A115" s="11" t="s">
        <v>369</v>
      </c>
      <c r="C115" s="11" t="n">
        <f aca="false">COUNTIF($F$5:$F$104,A115)</f>
        <v>1</v>
      </c>
      <c r="D115" s="38" t="n">
        <f aca="false">SUMIF($F$5:$F$104,A115,$D$5:$D$104)</f>
        <v>8.64</v>
      </c>
    </row>
    <row r="116" customFormat="false" ht="15" hidden="false" customHeight="false" outlineLevel="0" collapsed="false">
      <c r="A116" s="2" t="s">
        <v>32</v>
      </c>
      <c r="C116" s="2" t="n">
        <f aca="false">SUM(C108:C115)</f>
        <v>100</v>
      </c>
      <c r="D116" s="39" t="n">
        <f aca="false">SUM(D108:D115)</f>
        <v>573.12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70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5" t="s">
        <v>404</v>
      </c>
    </row>
    <row r="2" customFormat="false" ht="15" hidden="false" customHeight="false" outlineLevel="0" collapsed="false">
      <c r="A2" s="6" t="s">
        <v>405</v>
      </c>
    </row>
    <row r="4" customFormat="false" ht="15" hidden="false" customHeight="false" outlineLevel="0" collapsed="false">
      <c r="A4" s="9" t="s">
        <v>406</v>
      </c>
      <c r="B4" s="9" t="s">
        <v>407</v>
      </c>
      <c r="C4" s="9" t="s">
        <v>408</v>
      </c>
      <c r="D4" s="9" t="s">
        <v>409</v>
      </c>
    </row>
    <row r="5" customFormat="false" ht="23.85" hidden="false" customHeight="false" outlineLevel="0" collapsed="false">
      <c r="A5" s="23" t="s">
        <v>124</v>
      </c>
      <c r="B5" s="24" t="s">
        <v>410</v>
      </c>
      <c r="C5" s="24" t="s">
        <v>411</v>
      </c>
      <c r="D5" s="24" t="s">
        <v>412</v>
      </c>
    </row>
    <row r="6" customFormat="false" ht="57.45" hidden="false" customHeight="false" outlineLevel="0" collapsed="false">
      <c r="A6" s="23" t="s">
        <v>93</v>
      </c>
      <c r="B6" s="24" t="s">
        <v>413</v>
      </c>
      <c r="C6" s="24" t="s">
        <v>414</v>
      </c>
      <c r="D6" s="24" t="s">
        <v>415</v>
      </c>
    </row>
    <row r="7" customFormat="false" ht="91" hidden="false" customHeight="false" outlineLevel="0" collapsed="false">
      <c r="A7" s="23" t="s">
        <v>82</v>
      </c>
      <c r="B7" s="24" t="s">
        <v>416</v>
      </c>
      <c r="C7" s="24" t="s">
        <v>417</v>
      </c>
      <c r="D7" s="24" t="s">
        <v>418</v>
      </c>
    </row>
    <row r="8" customFormat="false" ht="15" hidden="false" customHeight="false" outlineLevel="0" collapsed="false">
      <c r="A8" s="23" t="s">
        <v>242</v>
      </c>
      <c r="B8" s="24" t="s">
        <v>419</v>
      </c>
      <c r="C8" s="24" t="s">
        <v>420</v>
      </c>
      <c r="D8" s="24" t="s">
        <v>421</v>
      </c>
    </row>
    <row r="9" customFormat="false" ht="15" hidden="false" customHeight="false" outlineLevel="0" collapsed="false">
      <c r="A9" s="23" t="s">
        <v>422</v>
      </c>
      <c r="B9" s="24" t="s">
        <v>423</v>
      </c>
      <c r="C9" s="24" t="s">
        <v>424</v>
      </c>
      <c r="D9" s="24" t="s">
        <v>425</v>
      </c>
    </row>
    <row r="10" customFormat="false" ht="15" hidden="false" customHeight="false" outlineLevel="0" collapsed="false">
      <c r="A10" s="23" t="s">
        <v>250</v>
      </c>
      <c r="B10" s="24" t="s">
        <v>79</v>
      </c>
      <c r="C10" s="24" t="s">
        <v>426</v>
      </c>
      <c r="D10" s="24" t="s">
        <v>427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2026-09-24T23:21:45Z</dcterms:created>
  <dc:creator>openpyxl</dc:creator>
  <dc:description/>
  <dc:language>en-US</dc:language>
  <cp:lastModifiedBy/>
  <dcterms:modified xsi:type="dcterms:W3CDTF">2026-09-24T23:21:45Z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