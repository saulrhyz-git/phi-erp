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9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it Summary" sheetId="2" state="visible" r:id="rId4"/>
    <sheet name="Process Catalogue" sheetId="3" state="visible" r:id="rId5"/>
    <sheet name="SIPOC" sheetId="4" state="visible" r:id="rId6"/>
    <sheet name="COPIS" sheetId="5" state="visible" r:id="rId7"/>
    <sheet name="Data Matrix" sheetId="6" state="visible" r:id="rId8"/>
    <sheet name="Master Data" sheetId="7" state="visible" r:id="rId9"/>
    <sheet name="Lot Touchpoints" sheetId="8" state="visible" r:id="rId10"/>
    <sheet name="Open Items" sheetId="9" state="visible" r:id="rId11"/>
    <sheet name="SOW Gap Analysis" sheetId="10" state="visible" r:id="rId12"/>
    <sheet name="SOW Scope Map" sheetId="11" state="visible" r:id="rId13"/>
    <sheet name="SOW Effort Check" sheetId="12" state="visible" r:id="rId14"/>
    <sheet name="SOW Observation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<sst xmlns="http://schemas.openxmlformats.org/spreadsheetml/2006/main" count="1944" uniqueCount="1043">
  <si>
    <t xml:space="preserve">PHI Enterprise Process Blueprint — Odoo 19 (Rev. C)</t>
  </si>
  <si>
    <t xml:space="preserve">Purpose</t>
  </si>
  <si>
    <t xml:space="preserve">Master blueprint of PHI processes, data and hand-offs for the Odoo 19 BRD with the implementation vendor. Companion to the published HTML blueprint and the .bpmn diagram files.</t>
  </si>
  <si>
    <t xml:space="preserve">Basis</t>
  </si>
  <si>
    <t xml:space="preserve">Enterprise ERP Business Reference Flow (Budget Setup). Process numbers 04, 14, 15, 16, 18, 19 come from that flow; the rest are proposed.</t>
  </si>
  <si>
    <t xml:space="preserve">Key decisions reflected</t>
  </si>
  <si>
    <t xml:space="preserve">Vendor proposes the Lot as the master model for each sellable unit. TORC = taxes and other related charges.</t>
  </si>
  <si>
    <t xml:space="preserve">Sheets</t>
  </si>
  <si>
    <t xml:space="preserve">Fit Summary · Process Catalogue · SIPOC · COPIS · Data Matrix · Master Data · Lot Touchpoints · Open Items · SOW Gap Analysis · SOW Scope Map · SOW Effort Check · SOW Observations</t>
  </si>
  <si>
    <t xml:space="preserve">Yellow cells</t>
  </si>
  <si>
    <t xml:space="preserve">Input columns for process owners: validation status, owner comments, decisions. Everything else is blueprint content — change it only through a revision.</t>
  </si>
  <si>
    <t xml:space="preserve">Example input</t>
  </si>
  <si>
    <t xml:space="preserve">Data Matrix row 09.1 → Validated = "Yes – with changes"; Owner comments = "Reservation validity is 30 days, not 15; add promo code field."</t>
  </si>
  <si>
    <t xml:space="preserve">Fit legend</t>
  </si>
  <si>
    <t xml:space="preserve">Standard = works out of the box · Configure = setup, Studio fields, rules · Extend = likely custom module, scope with vendor</t>
  </si>
  <si>
    <t xml:space="preserve">Caveat</t>
  </si>
  <si>
    <t xml:space="preserve">Odoo app placement and fit are indicative starting positions for fit-gap, not vendor commitments. Statutory items (RA 6552, PD 957, EOPT, PFRS 15) to be confirmed by Legal, Tax and the external auditor.</t>
  </si>
  <si>
    <t xml:space="preserve">SOW reviewed</t>
  </si>
  <si>
    <t xml:space="preserve">Achieve Without Borders SOW S343096, Odoo v19 Enterprise, vendor-signed 24 Sep 2026 (739 person-days, PHP 7,090,000 ex-VAT after discount).</t>
  </si>
  <si>
    <t xml:space="preserve">Deferred scope</t>
  </si>
  <si>
    <t xml:space="preserve">Leasing (10) and property management / HOA (18) are deferred to a later phase by PHI decision; they stay in the blueprint but are excluded from the SOW negotiation.</t>
  </si>
  <si>
    <t xml:space="preserve">Domain</t>
  </si>
  <si>
    <t xml:space="preserve">Standard</t>
  </si>
  <si>
    <t xml:space="preserve">Configure</t>
  </si>
  <si>
    <t xml:space="preserve">Extend</t>
  </si>
  <si>
    <t xml:space="preserve">Total steps</t>
  </si>
  <si>
    <t xml:space="preserve">% Extend</t>
  </si>
  <si>
    <t xml:space="preserve">Plan &amp; fund</t>
  </si>
  <si>
    <t xml:space="preserve">Land</t>
  </si>
  <si>
    <t xml:space="preserve">Project &amp; inventory</t>
  </si>
  <si>
    <t xml:space="preserve">Sales &amp; leasing</t>
  </si>
  <si>
    <t xml:space="preserve">Accounts monitoring &amp; financing</t>
  </si>
  <si>
    <t xml:space="preserve">Delivery &amp; property management</t>
  </si>
  <si>
    <t xml:space="preserve">Accounts payable</t>
  </si>
  <si>
    <t xml:space="preserve">Forecasts &amp; KPIs</t>
  </si>
  <si>
    <t xml:space="preserve">Total</t>
  </si>
  <si>
    <t xml:space="preserve">Counts come from the Data Matrix Fit column, grouped by each process's domain in Process Catalogue.</t>
  </si>
  <si>
    <t xml:space="preserve">Proc ID</t>
  </si>
  <si>
    <t xml:space="preserve">Process</t>
  </si>
  <si>
    <t xml:space="preserve">Value-chain stage</t>
  </si>
  <si>
    <t xml:space="preserve">Accountable owner</t>
  </si>
  <si>
    <t xml:space="preserve">Indicative Odoo 19 home</t>
  </si>
  <si>
    <t xml:space="preserve">Fit</t>
  </si>
  <si>
    <t xml:space="preserve">Numbered in reference flow?</t>
  </si>
  <si>
    <t xml:space="preserve">Owner confirmed (Y/N)</t>
  </si>
  <si>
    <t xml:space="preserve">Comments</t>
  </si>
  <si>
    <t xml:space="preserve">01</t>
  </si>
  <si>
    <t xml:space="preserve">Budget setup (corporate &amp; project)</t>
  </si>
  <si>
    <t xml:space="preserve">Finance – budget &amp; FP&amp;A</t>
  </si>
  <si>
    <t xml:space="preserve">Accounting › Budgets, Analytic plans; Approvals; Spreadsheet</t>
  </si>
  <si>
    <t xml:space="preserve">Proposed</t>
  </si>
  <si>
    <t xml:space="preserve">02</t>
  </si>
  <si>
    <t xml:space="preserve">Corporate &amp; project financing</t>
  </si>
  <si>
    <t xml:space="preserve">Treasury</t>
  </si>
  <si>
    <t xml:space="preserve">Accounting (bank, loans, journals); Documents</t>
  </si>
  <si>
    <t xml:space="preserve">03</t>
  </si>
  <si>
    <t xml:space="preserve">Corporate expenses</t>
  </si>
  <si>
    <t xml:space="preserve">Administration / requesting departments</t>
  </si>
  <si>
    <t xml:space="preserve">Purchase; Approvals; Expenses; Accounting</t>
  </si>
  <si>
    <t xml:space="preserve">04</t>
  </si>
  <si>
    <t xml:space="preserve">Land acquisition</t>
  </si>
  <si>
    <t xml:space="preserve">Acquire land</t>
  </si>
  <si>
    <t xml:space="preserve">Land acquisition / business development</t>
  </si>
  <si>
    <t xml:space="preserve">Documents; Sign; Approvals; Purchase / Accounting (milestones); custom land register</t>
  </si>
  <si>
    <t xml:space="preserve">Yes</t>
  </si>
  <si>
    <t xml:space="preserve">05</t>
  </si>
  <si>
    <t xml:space="preserve">Project setup &amp; project financing</t>
  </si>
  <si>
    <t xml:space="preserve">Develop</t>
  </si>
  <si>
    <t xml:space="preserve">Project Development</t>
  </si>
  <si>
    <t xml:space="preserve">Project; Accounting (analytic accounts); Documents; custom permit tracker</t>
  </si>
  <si>
    <t xml:space="preserve">06</t>
  </si>
  <si>
    <t xml:space="preserve">Project expenses &amp; construction (milestone-based)</t>
  </si>
  <si>
    <t xml:space="preserve">Construction / cost control</t>
  </si>
  <si>
    <t xml:space="preserve">Purchase; Project; Accounting; progress-billing extension</t>
  </si>
  <si>
    <t xml:space="preserve">07</t>
  </si>
  <si>
    <t xml:space="preserve">Inventory &amp; financing options setup</t>
  </si>
  <si>
    <t xml:space="preserve">Sales admin / Project Development</t>
  </si>
  <si>
    <t xml:space="preserve">Lot master model (vendor-proposed) linked to Sales products, pricelists and payment terms; Studio</t>
  </si>
  <si>
    <t xml:space="preserve">08</t>
  </si>
  <si>
    <t xml:space="preserve">Sales channel accreditation</t>
  </si>
  <si>
    <t xml:space="preserve">Stock &amp; sell</t>
  </si>
  <si>
    <t xml:space="preserve">Sales admin</t>
  </si>
  <si>
    <t xml:space="preserve">Contacts; Documents; Sign; Approvals; Sales commission plans</t>
  </si>
  <si>
    <t xml:space="preserve">09</t>
  </si>
  <si>
    <t xml:space="preserve">Sales (reservation to contract to sell)</t>
  </si>
  <si>
    <t xml:space="preserve">Sales / sales admin</t>
  </si>
  <si>
    <t xml:space="preserve">CRM; Sales; Sign; Documents; Accounting; custom sales computation</t>
  </si>
  <si>
    <t xml:space="preserve">10</t>
  </si>
  <si>
    <t xml:space="preserve">Leasing</t>
  </si>
  <si>
    <t xml:space="preserve">Leasing / sales</t>
  </si>
  <si>
    <t xml:space="preserve">Rental or Subscriptions; Sign; Accounting</t>
  </si>
  <si>
    <t xml:space="preserve">11</t>
  </si>
  <si>
    <t xml:space="preserve">Accounts monitoring (documentation, receipting, collection)</t>
  </si>
  <si>
    <t xml:space="preserve">Collect &amp; finance</t>
  </si>
  <si>
    <t xml:space="preserve">Credit &amp; collection</t>
  </si>
  <si>
    <t xml:space="preserve">Accounting (invoicing, payments, follow-up); Documents; PH localization; custom amortization &amp; penalty engine</t>
  </si>
  <si>
    <t xml:space="preserve">12</t>
  </si>
  <si>
    <t xml:space="preserve">Cancellations &amp; return to inventory</t>
  </si>
  <si>
    <t xml:space="preserve">Credit &amp; collection / Legal</t>
  </si>
  <si>
    <t xml:space="preserve">Accounting; Approvals; custom Maceda calculator</t>
  </si>
  <si>
    <t xml:space="preserve">13</t>
  </si>
  <si>
    <t xml:space="preserve">Bank / Pag-IBIG takeout &amp; in-house financing</t>
  </si>
  <si>
    <t xml:space="preserve">Loans &amp; financing</t>
  </si>
  <si>
    <t xml:space="preserve">Accounting; Documents; custom takeout tracker and IHF amortization</t>
  </si>
  <si>
    <t xml:space="preserve">14</t>
  </si>
  <si>
    <t xml:space="preserve">TORC – taxes and other related charges</t>
  </si>
  <si>
    <t xml:space="preserve">Deliver &amp; manage</t>
  </si>
  <si>
    <t xml:space="preserve">Titling</t>
  </si>
  <si>
    <t xml:space="preserve">Accounting; Approvals; Expenses (cash advance / liquidation)</t>
  </si>
  <si>
    <t xml:space="preserve">15</t>
  </si>
  <si>
    <t xml:space="preserve">Unit preparation &amp; delivery</t>
  </si>
  <si>
    <t xml:space="preserve">Customer care / turnover</t>
  </si>
  <si>
    <t xml:space="preserve">Field Service or Project; Sign; Helpdesk</t>
  </si>
  <si>
    <t xml:space="preserve">16</t>
  </si>
  <si>
    <t xml:space="preserve">Accounts payable processing</t>
  </si>
  <si>
    <t xml:space="preserve">Cross-cutting</t>
  </si>
  <si>
    <t xml:space="preserve">Accounting – AP</t>
  </si>
  <si>
    <t xml:space="preserve">Accounting (bills, payments, batch payments); Purchase; Approvals; PH localization (2307)</t>
  </si>
  <si>
    <t xml:space="preserve">17</t>
  </si>
  <si>
    <t xml:space="preserve">Commissions &amp; sales incentives</t>
  </si>
  <si>
    <t xml:space="preserve">Sales commission plans; Purchase / Accounting (broker bills)</t>
  </si>
  <si>
    <t xml:space="preserve">18</t>
  </si>
  <si>
    <t xml:space="preserve">Property management</t>
  </si>
  <si>
    <t xml:space="preserve">Subscriptions / Invoicing; Helpdesk; Field Service; Purchase</t>
  </si>
  <si>
    <t xml:space="preserve">19</t>
  </si>
  <si>
    <t xml:space="preserve">Title delivery</t>
  </si>
  <si>
    <t xml:space="preserve">Documents; Project (checklist); custom title tracker</t>
  </si>
  <si>
    <t xml:space="preserve">X1</t>
  </si>
  <si>
    <t xml:space="preserve">Forecasts</t>
  </si>
  <si>
    <t xml:space="preserve">Finance – FP&amp;A</t>
  </si>
  <si>
    <t xml:space="preserve">Spreadsheet; Dashboards; Accounting reports</t>
  </si>
  <si>
    <t xml:space="preserve">X2</t>
  </si>
  <si>
    <t xml:space="preserve">KPIs &amp; variance reports</t>
  </si>
  <si>
    <t xml:space="preserve">Accounting budget reports; Spreadsheet dashboards; BI</t>
  </si>
  <si>
    <t xml:space="preserve">Suppliers</t>
  </si>
  <si>
    <t xml:space="preserve">Inputs</t>
  </si>
  <si>
    <t xml:space="preserve">Process steps</t>
  </si>
  <si>
    <t xml:space="preserve">Outputs</t>
  </si>
  <si>
    <t xml:space="preserve">Customers</t>
  </si>
  <si>
    <t xml:space="preserve">Owner</t>
  </si>
  <si>
    <t xml:space="preserve">Owner comments</t>
  </si>
  <si>
    <t xml:space="preserve">• ManCom / Executive
• Department heads
• Project Development
• Finance – FP&amp;A
• Treasury</t>
  </si>
  <si>
    <t xml:space="preserve">• Strategic plan and targets
• Prior-year actuals
• Project feasibility studies
• Sales, collection and cash forecasts
• Chart of accounts and analytic structure</t>
  </si>
  <si>
    <t xml:space="preserve">1. Define budget structure (accounts × analytic plans: company, project, phase, cost center)
2. Annual corporate budget planning
3. Project (life-of-project) budget by phase and cost code
4. Consolidate and review
5. Approve and lock baseline; switch on budget checks</t>
  </si>
  <si>
    <t xml:space="preserve">• Approved corporate budget
• Approved project budget baselines
• Budget-control rules
• Forecast baseline</t>
  </si>
  <si>
    <t xml:space="preserve">• All spending departments
• Accounting and Procurement
• ManCom / Board
• Lenders</t>
  </si>
  <si>
    <t xml:space="preserve">• Banks and lenders
• Shareholders
• Treasury
• ManCom</t>
  </si>
  <si>
    <t xml:space="preserve">• Cash-flow forecast
• Approved budgets
• Term sheets and loan agreements
• Collateral documents</t>
  </si>
  <si>
    <t xml:space="preserve">1. Identify funding need
2. Negotiate facility; Board approval
3. Drawdown and allocate to company / project
4. Accrue and capitalize interest where allowed
5. Schedule debt service</t>
  </si>
  <si>
    <t xml:space="preserve">• Loan records and amortization schedules
• Funds availability per project
• Interest accruals (expensed or capitalized)</t>
  </si>
  <si>
    <t xml:space="preserve">• Projects
• Accounts payable (loan payments)
• Accounting
• Lenders</t>
  </si>
  <si>
    <t xml:space="preserve">• Departments (admin, branding, executive, HR)
• Suppliers and service providers</t>
  </si>
  <si>
    <t xml:space="preserve">• Approved department budget
• Purchase requests
• Quotations and contracts</t>
  </si>
  <si>
    <t xml:space="preserve">1. Raise request
2. Budget check
3. Approve
4. Issue PO or contract
5. Receive and accept
6. Send bill to AP</t>
  </si>
  <si>
    <t xml:space="preserve">• POs and committed cost
• Vendor bills
• Expense by cost center</t>
  </si>
  <si>
    <t xml:space="preserve">• Accounts payable
• Accounting
• Department heads</t>
  </si>
  <si>
    <t xml:space="preserve">• Landowners, heirs, land brokers
• Appraisers and surveyors
• Legal
• BIR, Registry of Deeds, LGU assessor</t>
  </si>
  <si>
    <t xml:space="preserve">• Land offers
• Title, tax declaration, survey, zoning
• Appraisal
• Acquisition budget and ManCom approval</t>
  </si>
  <si>
    <t xml:space="preserve">1. Source and log opportunity
2. Due diligence
3. Negotiate and execute agreement (deed, CTS or JV)
4. Pay per milestones
5. Pay CGT/DST/transfer tax and transfer title
6. Book land to project or land bank</t>
  </si>
  <si>
    <t xml:space="preserve">• Executed agreements
• Milestone payments
• Title in PHI's name
• Capitalized land cost; land bank record</t>
  </si>
  <si>
    <t xml:space="preserve">• Project Development
• Accounting
• Treasury
• Legal</t>
  </si>
  <si>
    <t xml:space="preserve">• Project Development
• Architects and engineers
• Finance and Treasury
• LGU, DENR, DHSUD</t>
  </si>
  <si>
    <t xml:space="preserve">• Approved project budget
• Master plan and phasing
• Land title
• Permits: DP, ECC, BP, CR/LTS</t>
  </si>
  <si>
    <t xml:space="preserve">1. Create project master and analytic account
2. Define phases, blocks/towers and WBS
3. Set milestones
4. Secure project financing
5. Track permits and License to Sell</t>
  </si>
  <si>
    <t xml:space="preserve">• Project master data
• WBS and milestones
• Project funding lines
• License-to-sell status</t>
  </si>
  <si>
    <t xml:space="preserve">• Construction
• Sales
• Accounting
• Inventory</t>
  </si>
  <si>
    <t xml:space="preserve">• Contractors and subcontractors
• Suppliers
• Engineering and QS
• Planning, permits, titling, marketing, sales, loan-interest cost owners</t>
  </si>
  <si>
    <t xml:space="preserve">• Project budget and WBS
• Contracts and BOQ
• Accomplishment reports
• Variation orders</t>
  </si>
  <si>
    <t xml:space="preserve">1. Award contract / issue PO
2. Verify accomplishment by milestone
3. Process progress billing with retention and recoupment
4. Send to AP
5. Update % completion</t>
  </si>
  <si>
    <t xml:space="preserve">• Committed vs actual cost
• % completion per unit/phase
• Retention payable
• Construction-in-progress cost</t>
  </si>
  <si>
    <t xml:space="preserve">• Accounts payable
• Accounting (POC revenue)
• Inventory (unit status)
• ManCom</t>
  </si>
  <si>
    <t xml:space="preserve">• Project Development
• Construction
• Finance
• Sales admin</t>
  </si>
  <si>
    <t xml:space="preserve">• Approved subdivision / condo plans
• Unit list, areas, models
• Price list and escalation rules
• Financing schemes</t>
  </si>
  <si>
    <t xml:space="preserve">1. Create lots as the unit master (project-phase-block-lot; tower-floor-unit for condos)
2. Set price lists
3. Track construction status: pre-construction → construction → ready
4. Track sales status: available → reserved → sold / hold / cancelled
5. Configure financing options and payment-term templates</t>
  </si>
  <si>
    <t xml:space="preserve">• Sellable inventory
• Price lists
• Payment-term templates
• Availability board</t>
  </si>
  <si>
    <t xml:space="preserve">• Sales channels
• Accounts monitoring
• Finance</t>
  </si>
  <si>
    <t xml:space="preserve">• Realty firms
• Sales agents
• Legal</t>
  </si>
  <si>
    <t xml:space="preserve">• Accreditation application
• PRC license, DHSUD registration
• BIR COR (Form 2303), TIN
• Accreditation agreement</t>
  </si>
  <si>
    <t xml:space="preserve">1. Receive application
2. Verify documents
3. Approve
4. Create partner record and assign commission scheme
5. Renew before expiry</t>
  </si>
  <si>
    <t xml:space="preserve">• Accredited broker/agent master
• Commission schemes
• Validity dates</t>
  </si>
  <si>
    <t xml:space="preserve">• Sales
• Accounts payable (commissions)
• Marketing</t>
  </si>
  <si>
    <t xml:space="preserve">• Buyers and co-borrowers
• Brokers and agents
• Marketing
• Credit &amp; collection</t>
  </si>
  <si>
    <t xml:space="preserve">• Available unit
• Price list, promos, discounts
• Financing scheme
• Buyer KYC documents
• Reservation fee</t>
  </si>
  <si>
    <t xml:space="preserve">1. Prepare sales computation
2. Reserve unit and receive reservation fee
3. Collect documents; credit check
4. Generate CTS and payment schedule
5. Sign and notarize CTS; tag unit sold</t>
  </si>
  <si>
    <t xml:space="preserve">• Reservation agreement
• CTS (contract to sell)
• Payment schedule
• Buyer master
• Commission accrual</t>
  </si>
  <si>
    <t xml:space="preserve">• Buyer
• Accounts monitoring
• Accounting
• Brokers</t>
  </si>
  <si>
    <t xml:space="preserve">• Tenants
• Leasing team
• Legal</t>
  </si>
  <si>
    <t xml:space="preserve">• Lease-available unit
• Lease rate and term sheet
• Security deposit, advance rent</t>
  </si>
  <si>
    <t xml:space="preserve">1. Issue term sheet
2. Approve
3. Sign lease contract
4. Bill rent, CUSA and utilities
5. Renew or terminate</t>
  </si>
  <si>
    <t xml:space="preserve">• Lease contracts
• Recurring invoices
• Deposit liability</t>
  </si>
  <si>
    <t xml:space="preserve">• Tenants
• Accounting
• Property management</t>
  </si>
  <si>
    <t xml:space="preserve">• Buyers
• Cashier
• Sales admin
• Banks (PDCs, transfers)</t>
  </si>
  <si>
    <t xml:space="preserve">• Signed CTS and payment schedule
• Payments: cash, check, PDC, bank transfer, online
• Buyer documents</t>
  </si>
  <si>
    <t xml:space="preserve">1. Manage contracts and documents
2. Issue BIR-compliant invoice / receipt
3. Post and allocate collections
4. Issue SOA
5. Compute delinquency and penalties
6. Produce aging</t>
  </si>
  <si>
    <t xml:space="preserve">• Posted collections
• Invoices / receipts
• SOA
• Penalties and aging
• Delinquency list</t>
  </si>
  <si>
    <t xml:space="preserve">• Buyers
• Accounting
• Treasury
• ManCom</t>
  </si>
  <si>
    <t xml:space="preserve">• Buyer (voluntary)
• Credit &amp; collection (default)
• Legal</t>
  </si>
  <si>
    <t xml:space="preserve">• Cancellation request or default status
• Payment history
• Years of installments paid</t>
  </si>
  <si>
    <t xml:space="preserve">1. Observe grace period
2. Serve notarial notice
3. Compute cash surrender value or forfeiture
4. Approve
5. Reverse receivable, revenue and commission
6. Refund via AP; return unit</t>
  </si>
  <si>
    <t xml:space="preserve">• Cancellation record
• Refund payable or forfeiture income
• Unit back to available</t>
  </si>
  <si>
    <t xml:space="preserve">• Buyer
• Accounts payable
• Accounting
• Sales / inventory</t>
  </si>
  <si>
    <t xml:space="preserve">• Buyer
• Banks and Pag-IBIG
• Titling</t>
  </si>
  <si>
    <t xml:space="preserve">• Equity fully paid
• Loan requirements
• Letter of guaranty / notice of approval
• Title and DOAS</t>
  </si>
  <si>
    <t xml:space="preserve">1. Takeout: collect requirements, submit, receive decision, release documents, collect proceeds
2. IHF: approve, set amortization with interest, collect monthly</t>
  </si>
  <si>
    <t xml:space="preserve">• Loan proceeds applied
• Closed buyer balance or IHF receivable
• Interest income</t>
  </si>
  <si>
    <t xml:space="preserve">• Accounts monitoring
• Treasury
• Accounting
• Titling</t>
  </si>
  <si>
    <t xml:space="preserve">• Titling
• BIR, LGU, Registry of Deeds</t>
  </si>
  <si>
    <t xml:space="preserve">• Deed of absolute sale
• Computation of taxes (DST, transfer tax) and other related charges (registration, notarial, processing fees)
• TORC budget</t>
  </si>
  <si>
    <t xml:space="preserve">1. Compute
2. Approve against budget
3. Fund cash advance or bill
4. Pay agencies
5. Liquidate
6. Charge to buyer or project</t>
  </si>
  <si>
    <t xml:space="preserve">• Paid TORC
• Liquidation
• Recoverable charges on buyer ledger</t>
  </si>
  <si>
    <t xml:space="preserve">• Accounts payable
• Title delivery
• Accounting</t>
  </si>
  <si>
    <t xml:space="preserve">• Construction and QA
• Credit &amp; collection
• Buyer</t>
  </si>
  <si>
    <t xml:space="preserve">• Ready-for-occupancy unit
• Turnover eligibility (payment status)
• Punch list</t>
  </si>
  <si>
    <t xml:space="preserve">1. Check eligibility
2. Schedule joint inspection
3. Rectify defects
4. Sign acceptance; hand over keys
5. Start warranty</t>
  </si>
  <si>
    <t xml:space="preserve">• Certificate of acceptance
• Warranty period
• Unit status: turned over</t>
  </si>
  <si>
    <t xml:space="preserve">• Buyer
• Property management
• Accounting</t>
  </si>
  <si>
    <t xml:space="preserve">• Corporate, land, project, sales, TORC and property-management expense owners
• Loan servicing
• Suppliers, contractors, brokers</t>
  </si>
  <si>
    <t xml:space="preserve">• Vendor bills
• PO and receipts / accomplishment
• Withholding tax codes</t>
  </si>
  <si>
    <t xml:space="preserve">1. Capture invoice
2. Match and validate
3. Budget check
4. Approve per DOA
5. Compute EWT; schedule payment
6. Disburse; issue BIR 2307</t>
  </si>
  <si>
    <t xml:space="preserve">• Payments
• BIR 2307 certificates
• AP aging
• Actuals against budget</t>
  </si>
  <si>
    <t xml:space="preserve">• Suppliers
• Treasury
• Accounting
• BIR</t>
  </si>
  <si>
    <t xml:space="preserve">• Sales
• Brokers and agents
• Accounts monitoring</t>
  </si>
  <si>
    <t xml:space="preserve">• Signed CTS
• Collection % per account
• Commission scheme and release tranches
• Non-cash incentive programs</t>
  </si>
  <si>
    <t xml:space="preserve">1. Accrue on sale
2. Release by tranche when collection thresholds are hit
3. Compute splits and EWT
4. Approve
5. Pay via AP</t>
  </si>
  <si>
    <t xml:space="preserve">• Commission payable
• Released commissions
• Non-cash incentives issued</t>
  </si>
  <si>
    <t xml:space="preserve">• Brokers and agents
• Accounts payable
• Accounting</t>
  </si>
  <si>
    <t xml:space="preserve">• Turnover
• Homeowners
• HOA
• Utilities and service vendors</t>
  </si>
  <si>
    <t xml:space="preserve">• Turned-over units
• Dues rates
• Service requests
• Vendor bills</t>
  </si>
  <si>
    <t xml:space="preserve">1. Onboard homeowner
2. Bill and collect dues
3. Service requests and maintenance
4. Process bills and expenses
5. Turn over to HOA</t>
  </si>
  <si>
    <t xml:space="preserve">• Dues invoices
• Service tickets
• PM expenses
• HOA turnover package</t>
  </si>
  <si>
    <t xml:space="preserve">• Homeowners
• HOA
• Accounts payable
• Accounting</t>
  </si>
  <si>
    <t xml:space="preserve">• Titling
• Legal
• BIR, Registry of Deeds, assessor
• Bank / Pag-IBIG</t>
  </si>
  <si>
    <t xml:space="preserve">• Full payment or takeout
• DOAS
• Mother title / condo title
• TORC paid</t>
  </si>
  <si>
    <t xml:space="preserve">1. Prepare documents
2. Pay fees and taxes
3. Process eCAR and transfer
4. Update tax declaration
5. Release to buyer or lender</t>
  </si>
  <si>
    <t xml:space="preserve">• TCT/CCT in buyer's name
• Tax declaration
• Delivery acknowledgment</t>
  </si>
  <si>
    <t xml:space="preserve">• Buyer
• Bank / Pag-IBIG
• Accounts monitoring</t>
  </si>
  <si>
    <t xml:space="preserve">• Sales
• Credit &amp; collection
• Construction
• Treasury</t>
  </si>
  <si>
    <t xml:space="preserve">• Pipeline and reservations
• Collection schedules
• Cost-to-complete
• Loan schedules</t>
  </si>
  <si>
    <t xml:space="preserve">1. Refresh monthly
2. Roll forward
3. Compare to budget
4. Publish</t>
  </si>
  <si>
    <t xml:space="preserve">• Sales, collection, cost and cash forecasts</t>
  </si>
  <si>
    <t xml:space="preserve">• ManCom
• Treasury
• Lenders</t>
  </si>
  <si>
    <t xml:space="preserve">• All processes</t>
  </si>
  <si>
    <t xml:space="preserve">• Budgets and actuals by analytic account
• Sales and collection data
• Construction progress</t>
  </si>
  <si>
    <t xml:space="preserve">1. Close period
2. Compute KPIs
3. Explain variances
4. Review with owners</t>
  </si>
  <si>
    <t xml:space="preserve">• Budget vs actual
• Absorption and sales velocity
• Collection efficiency and aging
• Cost variance</t>
  </si>
  <si>
    <t xml:space="preserve">• ManCom
• Board
• Process owners</t>
  </si>
  <si>
    <t xml:space="preserve">COPIS — customer-first view of each process</t>
  </si>
  <si>
    <t xml:space="preserve">Same content as SIPOC, read from the customer backwards: who is served, what they receive, how it is produced, what it needs, and who supplies it.</t>
  </si>
  <si>
    <t xml:space="preserve">Customer requirement (validate with customer)</t>
  </si>
  <si>
    <t xml:space="preserve">L0</t>
  </si>
  <si>
    <t xml:space="preserve">Enterprise (PHI)</t>
  </si>
  <si>
    <t xml:space="preserve">• Homebuyers and co-borrowers
• Tenants
• Homeowners' associations
• Shareholders and ManCom
• Lenders, regulators, auditors</t>
  </si>
  <si>
    <t xml:space="preserve">• Completed houses, lots and condo units
• Titles in buyers' names
• Managed communities, HOA turnover
• Collections, revenue, returns
• Statutory reports and BIR filings</t>
  </si>
  <si>
    <t xml:space="preserve">1. Plan &amp; fund
2. Acquire land
3. Develop
4. Stock &amp; sell
5. Collect &amp; finance
6. Deliver &amp; manage
7. Pay &amp; measure</t>
  </si>
  <si>
    <t xml:space="preserve">• Land and titles
• Capital and loans
• Materials, labor, permits
• Market demand, buyer payments
• Policies and regulations</t>
  </si>
  <si>
    <t xml:space="preserve">• Landowners, JV partners
• Banks, Pag-IBIG, shareholders
• Contractors and suppliers
• Accredited brokers and agents
• BIR, RD, LGUs, DHSUD, DENR</t>
  </si>
  <si>
    <t xml:space="preserve">Ref</t>
  </si>
  <si>
    <t xml:space="preserve">Step</t>
  </si>
  <si>
    <t xml:space="preserve">a. Trigger event</t>
  </si>
  <si>
    <t xml:space="preserve">b. Inputs &amp; data fields</t>
  </si>
  <si>
    <t xml:space="preserve">c. System hand-off</t>
  </si>
  <si>
    <t xml:space="preserve">d. Exceptions / edge cases</t>
  </si>
  <si>
    <t xml:space="preserve">Validated</t>
  </si>
  <si>
    <t xml:space="preserve">01.1</t>
  </si>
  <si>
    <t xml:space="preserve">Define budget structure</t>
  </si>
  <si>
    <t xml:space="preserve">Budget cycle opens (timer, prior-year Q3)</t>
  </si>
  <si>
    <t xml:space="preserve">Fiscal year; company; account; analytic plans (business unit, project, phase, cost center, expense type); budget version; currency</t>
  </si>
  <si>
    <t xml:space="preserve">Accounting › Analytic plans → Budgets; templates out to Spreadsheet</t>
  </si>
  <si>
    <t xml:space="preserve">New project mid-year needs lines; COA changes after load; intercompany charges across PHI entities</t>
  </si>
  <si>
    <t xml:space="preserve">01.2</t>
  </si>
  <si>
    <t xml:space="preserve">Corporate budget approval</t>
  </si>
  <si>
    <t xml:space="preserve">Templates issued to departments</t>
  </si>
  <si>
    <t xml:space="preserve">Department; account; monthly amounts; justification; prior-year actual; version; approver; approval date</t>
  </si>
  <si>
    <t xml:space="preserve">Spreadsheet import → Budget (draft) → Approvals → Budget (confirmed) → budget check on PR/PO/bill</t>
  </si>
  <si>
    <t xml:space="preserve">Realignment between lines; supplemental budget; rejected versions kept for audit; approved over-budget override</t>
  </si>
  <si>
    <t xml:space="preserve">01.3</t>
  </si>
  <si>
    <t xml:space="preserve">Project (life-of-project) budget</t>
  </si>
  <si>
    <t xml:space="preserve">Project approved on feasibility, or new phase launched</t>
  </si>
  <si>
    <t xml:space="preserve">Project; phase; cost code; categories (land, planning, permits, titling, construction by milestone, marketing, sales, loan interest); contingency %; revenue forecast (units × price)</t>
  </si>
  <si>
    <t xml:space="preserve">Project Development → Budget on project analytic → Project WBS; baseline snapshot kept for variance</t>
  </si>
  <si>
    <t xml:space="preserve">Budgets spanning several fiscal years; re-baseline after scope change; price escalation; overrun beyond contingency</t>
  </si>
  <si>
    <t xml:space="preserve">02.1</t>
  </si>
  <si>
    <t xml:space="preserve">Loan drawdown &amp; allocation</t>
  </si>
  <si>
    <t xml:space="preserve">Loan agreement signed; approved funding requirement</t>
  </si>
  <si>
    <t xml:space="preserve">Lender; facility; principal; fixed/floating rate; tenor; drawdown date; amortization schedule; collateral; project allocation; capitalize-interest flag</t>
  </si>
  <si>
    <t xml:space="preserve">Treasury → Accounting (loan liability, interest accrual) → project analytic (capitalized interest) → AP (debt-service schedule)</t>
  </si>
  <si>
    <t xml:space="preserve">Repricing; prepayment penalties; stop capitalizing interest at completion; covenant breach</t>
  </si>
  <si>
    <t xml:space="preserve">03.1</t>
  </si>
  <si>
    <t xml:space="preserve">Corporate expense request</t>
  </si>
  <si>
    <t xml:space="preserve">Department need arises</t>
  </si>
  <si>
    <t xml:space="preserve">Requester; cost center; category (branding, admin, departmental, executive); amount; budget line; vendor; attachments</t>
  </si>
  <si>
    <t xml:space="preserve">Purchase request / Approvals → budget check → PO → vendor bill (16)</t>
  </si>
  <si>
    <t xml:space="preserve">Unbudgeted urgent spend; recurring contracts (utilities, subscriptions); petty cash and reimbursements via Expenses</t>
  </si>
  <si>
    <t xml:space="preserve">04.1</t>
  </si>
  <si>
    <t xml:space="preserve">Land due diligence</t>
  </si>
  <si>
    <t xml:space="preserve">Land opportunity logged</t>
  </si>
  <si>
    <t xml:space="preserve">Owner(s); location; OCT/TCT no.; lot area; tax declaration no.; zoning; encumbrances; appraised value; asking price; broker</t>
  </si>
  <si>
    <t xml:space="preserve">Custom land register + Documents workspace → Approvals to ManCom</t>
  </si>
  <si>
    <t xml:space="preserve">Title defects or adverse claims; multiple heirs (extrajudicial settlement); CARP/DAR coverage; informal settlers</t>
  </si>
  <si>
    <t xml:space="preserve">04.2</t>
  </si>
  <si>
    <t xml:space="preserve">Land agreement &amp; milestone payments</t>
  </si>
  <si>
    <t xml:space="preserve">ManCom approval</t>
  </si>
  <si>
    <t xml:space="preserve">Agreement type (deed of sale, CTS, JV); price; milestones (condition, date, %); taxes borne by; JV sharing ratio</t>
  </si>
  <si>
    <t xml:space="preserve">Sign → vendor bill per milestone → AP (16) → Accounting (land held for development / advances)</t>
  </si>
  <si>
    <t xml:space="preserve">JV landowner paid in units (non-cash, inventory allocation); unmet milestone conditions; renegotiation; installment interest</t>
  </si>
  <si>
    <t xml:space="preserve">04.3</t>
  </si>
  <si>
    <t xml:space="preserve">Titling with fees</t>
  </si>
  <si>
    <t xml:space="preserve">Final payment made; deed notarized</t>
  </si>
  <si>
    <t xml:space="preserve">CGT; DST; transfer tax; registration fees; eCAR no.; new TCT no.; dates</t>
  </si>
  <si>
    <t xml:space="preserve">Fees → AP; TCT no. → land register and project master; land cost capitalized to project analytic</t>
  </si>
  <si>
    <t xml:space="preserve">Who shoulders taxes; late-filing surcharges; consolidation or subdivision of titles before development</t>
  </si>
  <si>
    <t xml:space="preserve">05.1</t>
  </si>
  <si>
    <t xml:space="preserve">Project setup</t>
  </si>
  <si>
    <t xml:space="preserve">Land titled and project budget approved</t>
  </si>
  <si>
    <t xml:space="preserve">Project code; name; company; location; type (horizontal / vertical); phases; blocks or towers; WBS; analytic account; permits (DP, ECC, BP, CR/LTS)</t>
  </si>
  <si>
    <t xml:space="preserve">Project ↔ analytic account ↔ Budget; permit tracker; releases to unit creation (07.1)</t>
  </si>
  <si>
    <t xml:space="preserve">Project across entities or JV; phasing changes; no LTS means no selling — system must block reservations</t>
  </si>
  <si>
    <t xml:space="preserve">06.1</t>
  </si>
  <si>
    <t xml:space="preserve">Construction contract &amp; progress billing</t>
  </si>
  <si>
    <t xml:space="preserve">Contract awarded; accomplishment report submitted</t>
  </si>
  <si>
    <t xml:space="preserve">Contractor; contract amount; BOQ / cost code; downpayment %; retention %; progress %; cumulative billed; recoupment; variation orders; EWT</t>
  </si>
  <si>
    <t xml:space="preserve">Purchase (contract/PO) → Project milestone % → vendor bill with retention and recoupment → AP; % completion → unit construction status and POC revenue</t>
  </si>
  <si>
    <t xml:space="preserve">Variation orders; liquidated damages; back-charges; retention release after defects liability period; owner-furnished materials</t>
  </si>
  <si>
    <t xml:space="preserve">07.1</t>
  </si>
  <si>
    <t xml:space="preserve">Lot master creation &amp; pricing</t>
  </si>
  <si>
    <t xml:space="preserve">Project released for sale (LTS issued)</t>
  </si>
  <si>
    <t xml:space="preserve">Lot ID (project-phase-block-lot; tower-floor-unit for condos); house model; lot and floor area; list price / TCP; price per sqm; VAT treatment; parking; construction status; sales status; mother / derivative title</t>
  </si>
  <si>
    <t xml:space="preserve">Lot master (vendor-proposed) ↔ product and pricelist ↔ project analytic; availability board to CRM and brokers; every downstream document (reservation, CTS, ledger, turnover, title) references the Lot</t>
  </si>
  <si>
    <t xml:space="preserve">Condo units, parking slots and house-and-lot packages modeled as lots; lot merge or split; price increases on unsold lots only; management / model-unit holds; VAT threshold treatment</t>
  </si>
  <si>
    <t xml:space="preserve">07.2</t>
  </si>
  <si>
    <t xml:space="preserve">Financing options setup</t>
  </si>
  <si>
    <t xml:space="preserve">New price list or promo scheme</t>
  </si>
  <si>
    <t xml:space="preserve">Scheme (spot cash, deferred cash, bank, Pag-IBIG, IHF); reservation fee; DP % and months; discount %; interest rate; loanable %; term; validity</t>
  </si>
  <si>
    <t xml:space="preserve">Payment-term templates → sales computation (09.1) → amortization engine (11)</t>
  </si>
  <si>
    <t xml:space="preserve">Promo expiry; scheme change after reservation (restructuring); Pag-IBIG loan ceilings</t>
  </si>
  <si>
    <t xml:space="preserve">08.1</t>
  </si>
  <si>
    <t xml:space="preserve">Broker / agent accreditation</t>
  </si>
  <si>
    <t xml:space="preserve">Application received</t>
  </si>
  <si>
    <t xml:space="preserve">Firm and agent names; PRC license no. and expiry; DHSUD registration; TIN and COR 2303; bank details; commission tier; parent firm; validity</t>
  </si>
  <si>
    <t xml:space="preserve">Contacts (partner tags) → Documents → Approvals → commission plan; selectable on CRM / sales order</t>
  </si>
  <si>
    <t xml:space="preserve">Expired license must block tagging; agent changing firms mid-deal; split commission between firms</t>
  </si>
  <si>
    <t xml:space="preserve">09.1</t>
  </si>
  <si>
    <t xml:space="preserve">Sales computation &amp; reservation</t>
  </si>
  <si>
    <t xml:space="preserve">Buyer selects unit and scheme</t>
  </si>
  <si>
    <t xml:space="preserve">Buyer name, TIN, IDs, civil status; co-borrower; unit; TCP; discounts; VAT; other charges; reservation fee; DP schedule; balance; scheme; broker / agent; promo code</t>
  </si>
  <si>
    <t xml:space="preserve">CRM opportunity → sales quotation (computation) → invoice / receipt for reservation fee → unit status reserved</t>
  </si>
  <si>
    <t xml:space="preserve">Double reservation of one unit (lock needed); bounced RF check; reservation expiry and RF forfeiture; discount above authority; OFW buyers with SPA</t>
  </si>
  <si>
    <t xml:space="preserve">09.2</t>
  </si>
  <si>
    <t xml:space="preserve">CTS generation</t>
  </si>
  <si>
    <t xml:space="preserve">Documents complete and DP policy met</t>
  </si>
  <si>
    <t xml:space="preserve">CTS no.; parties; unit; TCP; payment schedule (due dates, principal / interest split); penalty clause; Maceda clause; signatories; notarization date</t>
  </si>
  <si>
    <t xml:space="preserve">Sales order confirmed → Sign → Documents → buyer ledger and amortization schedule (11)</t>
  </si>
  <si>
    <t xml:space="preserve">Amendments: transfer of rights, unit swap, restructuring; co-owner change; death of buyer</t>
  </si>
  <si>
    <t xml:space="preserve">09.3</t>
  </si>
  <si>
    <t xml:space="preserve">Revenue recognition</t>
  </si>
  <si>
    <t xml:space="preserve">CTS signed and collectability threshold met (per policy)</t>
  </si>
  <si>
    <t xml:space="preserve">% completion; collections %; cost-to-complete; significant financing component</t>
  </si>
  <si>
    <t xml:space="preserve">Periodic journal in Accounting driven by project % complete (06.1) and collections (11.2)</t>
  </si>
  <si>
    <t xml:space="preserve">PFRS 15 over-time recognition assumptions; reversal on cancellation; auditor-agreed thresholds</t>
  </si>
  <si>
    <t xml:space="preserve">10.1</t>
  </si>
  <si>
    <t xml:space="preserve">Lease contract &amp; billing</t>
  </si>
  <si>
    <t xml:space="preserve">Tenant accepts term sheet</t>
  </si>
  <si>
    <t xml:space="preserve">Tenant; unit; lease rate; escalation %; term; start / end; security deposit; advance rent; CUSA; utilities; PDCs; VAT / EWT</t>
  </si>
  <si>
    <t xml:space="preserve">Unit status leased → Rental or Subscription → recurring invoices → AR</t>
  </si>
  <si>
    <t xml:space="preserve">Pre-termination; holdover; rent-free periods; applying deposit against damages</t>
  </si>
  <si>
    <t xml:space="preserve">11.1</t>
  </si>
  <si>
    <t xml:space="preserve">Buyer documentation</t>
  </si>
  <si>
    <t xml:space="preserve">Reservation or CTS stage reached</t>
  </si>
  <si>
    <t xml:space="preserve">Checklist per scheme; document status; received date; expiry (IDs); file</t>
  </si>
  <si>
    <t xml:space="preserve">Documents workspace linked to buyer and unit; completeness gate for CTS (09.2) and takeout (13.1)</t>
  </si>
  <si>
    <t xml:space="preserve">Expired documents; consularized documents from abroad</t>
  </si>
  <si>
    <t xml:space="preserve">11.2</t>
  </si>
  <si>
    <t xml:space="preserve">Receipting &amp; collection posting</t>
  </si>
  <si>
    <t xml:space="preserve">Payment received</t>
  </si>
  <si>
    <t xml:space="preserve">Payor; amount; mode (cash, check, PDC, transfer, online); check no., bank, date; allocation (RF, DP, amortization, penalty, other charges); invoice series; VAT breakdown</t>
  </si>
  <si>
    <t xml:space="preserve">Accounting payment → allocation on buyer ledger; BIR-registered invoice series (CAS / e-invoicing)</t>
  </si>
  <si>
    <t xml:space="preserve">PDC warehousing; bounced checks; partial or over-payment; unidentified deposits; EOPT invoice-vs-receipt rules</t>
  </si>
  <si>
    <t xml:space="preserve">11.3</t>
  </si>
  <si>
    <t xml:space="preserve">SOA, delinquency &amp; aging</t>
  </si>
  <si>
    <t xml:space="preserve">Monthly cycle (timer) or due date lapsed</t>
  </si>
  <si>
    <t xml:space="preserve">Amount due; paid; balance; days past due; penalty rate and amount; aging bucket</t>
  </si>
  <si>
    <t xml:space="preserve">Follow-up reports → demand letters → collection dashboard → cancellation trigger (12.1)</t>
  </si>
  <si>
    <t xml:space="preserve">Penalty waivers (approval); restructuring; grace periods under RA 6552</t>
  </si>
  <si>
    <t xml:space="preserve">12.1</t>
  </si>
  <si>
    <t xml:space="preserve">Cancellation &amp; refund</t>
  </si>
  <si>
    <t xml:space="preserve">Buyer request, or default beyond grace</t>
  </si>
  <si>
    <t xml:space="preserve">Reason code; total paid; years of installments; cash surrender value (50% + 5%/yr after 5 yrs, max 90%); deductions; notarial notice date; effective date; approval</t>
  </si>
  <si>
    <t xml:space="preserve">Accounting reversal (AR, revenue, commission clawback) → AP refund (16) → unit status available</t>
  </si>
  <si>
    <t xml:space="preserve">Under 2 years paid (no CSV, 60-day grace); disputes; refunds in installments; unit already turned over</t>
  </si>
  <si>
    <t xml:space="preserve">13.1</t>
  </si>
  <si>
    <t xml:space="preserve">Bank / Pag-IBIG takeout</t>
  </si>
  <si>
    <t xml:space="preserve">Equity fully paid</t>
  </si>
  <si>
    <t xml:space="preserve">Lender; loan amount; loanable %; requirements checklist; application date; LOG / NOA no. and date; release date; proceeds; deductions (fees, MRI); DOAS</t>
  </si>
  <si>
    <t xml:space="preserve">Takeout tracker → Titling (annotation) → Accounting (proceeds applied) → buyer balance closed</t>
  </si>
  <si>
    <t xml:space="preserve">Disapproval or partial approval (buyer pays gap); Pag-IBIG buyback guarantee; LOG expiry</t>
  </si>
  <si>
    <t xml:space="preserve">13.2</t>
  </si>
  <si>
    <t xml:space="preserve">In-house financing</t>
  </si>
  <si>
    <t xml:space="preserve">IHF chosen and approved</t>
  </si>
  <si>
    <t xml:space="preserve">Principal; rate; term; amortization method; due day; collateral</t>
  </si>
  <si>
    <t xml:space="preserve">Amortization schedule → monthly SOA (11.3) → interest income</t>
  </si>
  <si>
    <t xml:space="preserve">Repricing; early payoff; later refinancing to a bank</t>
  </si>
  <si>
    <t xml:space="preserve">14.1</t>
  </si>
  <si>
    <t xml:space="preserve">TORC (taxes and other related charges) processing</t>
  </si>
  <si>
    <t xml:space="preserve">Full payment reached / title transfer started</t>
  </si>
  <si>
    <t xml:space="preserve">DST; transfer tax; registration fees; other fees; budget line; payee agency; liquidation; amount rechargeable to buyer</t>
  </si>
  <si>
    <t xml:space="preserve">Titling → cash advance or bill → AP (16) → Accounting (buyer charge or project cost)</t>
  </si>
  <si>
    <t xml:space="preserve">Zonal-value updates; unliquidated advances; surcharges</t>
  </si>
  <si>
    <t xml:space="preserve">15.1</t>
  </si>
  <si>
    <t xml:space="preserve">Turnover</t>
  </si>
  <si>
    <t xml:space="preserve">Unit ready and account eligible</t>
  </si>
  <si>
    <t xml:space="preserve">Unit; inspection date; punch-list items; rectification status; acceptance date; keys; meter readings; warranty end date</t>
  </si>
  <si>
    <t xml:space="preserve">Field Service / Project tasks → Sign (acceptance) → unit status turned over → PM onboarding and dues (18.1)</t>
  </si>
  <si>
    <t xml:space="preserve">Buyer no-show (deemed acceptance clause); major defects; turnover before full payment by exception</t>
  </si>
  <si>
    <t xml:space="preserve">16.1</t>
  </si>
  <si>
    <t xml:space="preserve">AP invoice processing</t>
  </si>
  <si>
    <t xml:space="preserve">Vendor bill received</t>
  </si>
  <si>
    <t xml:space="preserve">Vendor; TIN; bill no. and date; PO ref; receipt / accomplishment ref; VAT; EWT ATC code; retention; due date; analytic distribution; approver</t>
  </si>
  <si>
    <t xml:space="preserve">Purchase ↔ bill (3-way match) → Approvals → payment batch → bank → BIR 2307 → budget actuals</t>
  </si>
  <si>
    <t xml:space="preserve">Bills without PO; duplicates; partial payment; supplier advances; foreign currency</t>
  </si>
  <si>
    <t xml:space="preserve">16.2</t>
  </si>
  <si>
    <t xml:space="preserve">Disbursement</t>
  </si>
  <si>
    <t xml:space="preserve">Approved bill falls due</t>
  </si>
  <si>
    <t xml:space="preserve">Payment method; bank; check no.; release date; 2307</t>
  </si>
  <si>
    <t xml:space="preserve">Accounting → bank file or check printing → bank reconciliation</t>
  </si>
  <si>
    <t xml:space="preserve">Stale or cancelled checks; payment holds</t>
  </si>
  <si>
    <t xml:space="preserve">17.1</t>
  </si>
  <si>
    <t xml:space="preserve">Commission accrual &amp; release</t>
  </si>
  <si>
    <t xml:space="preserve">CTS signed (accrual); collection threshold reached (release)</t>
  </si>
  <si>
    <t xml:space="preserve">Broker / agent; rate; base (net TCP); tranche %; release condition; EWT; non-cash incentives; clawback rule</t>
  </si>
  <si>
    <t xml:space="preserve">Sales → commission computation → broker bill → AP (16); non-cash incentives via Purchase / Inventory</t>
  </si>
  <si>
    <t xml:space="preserve">Clawback on cancellation; split deals; commission on discounted price; manager overrides</t>
  </si>
  <si>
    <t xml:space="preserve">18.1</t>
  </si>
  <si>
    <t xml:space="preserve">Homeowner onboarding &amp; dues</t>
  </si>
  <si>
    <t xml:space="preserve">Turnover accepted</t>
  </si>
  <si>
    <t xml:space="preserve">Homeowner; unit; dues rate; start date; billing cycle; utilities</t>
  </si>
  <si>
    <t xml:space="preserve">Subscription / recurring invoices → collection → HOA fund accounting</t>
  </si>
  <si>
    <t xml:space="preserve">Dues arrears blocking services; developer-paid dues on unsold units</t>
  </si>
  <si>
    <t xml:space="preserve">18.2</t>
  </si>
  <si>
    <t xml:space="preserve">Servicing &amp; PM expenses</t>
  </si>
  <si>
    <t xml:space="preserve">Service request or scheduled maintenance</t>
  </si>
  <si>
    <t xml:space="preserve">Ticket; category; unit; SLA; warranty flag; cost; vendor</t>
  </si>
  <si>
    <t xml:space="preserve">Helpdesk / Field Service → Purchase → AP (property-management expenses)</t>
  </si>
  <si>
    <t xml:space="preserve">Warranty vs chargeable; emergency repairs</t>
  </si>
  <si>
    <t xml:space="preserve">18.3</t>
  </si>
  <si>
    <t xml:space="preserve">HOA turnover</t>
  </si>
  <si>
    <t xml:space="preserve">Turnover criteria met</t>
  </si>
  <si>
    <t xml:space="preserve">HOA registration; fund balance; assets; documents</t>
  </si>
  <si>
    <t xml:space="preserve">Final PM accounting close → Documents</t>
  </si>
  <si>
    <t xml:space="preserve">Disputes on fund balance or common areas</t>
  </si>
  <si>
    <t xml:space="preserve">19.1</t>
  </si>
  <si>
    <t xml:space="preserve">Title processing &amp; delivery</t>
  </si>
  <si>
    <t xml:space="preserve">Full payment, or lender requires title for release</t>
  </si>
  <si>
    <t xml:space="preserve">DOAS date; eCAR no.; new TCT / CCT no.; tax declaration; release date; recipient (buyer or lender)</t>
  </si>
  <si>
    <t xml:space="preserve">Title tracker → Documents → buyer notice; feeds takeout release (13.1)</t>
  </si>
  <si>
    <t xml:space="preserve">Mother title not yet subdivided; lost documents; unpaid real-property tax</t>
  </si>
  <si>
    <t xml:space="preserve">X1.1</t>
  </si>
  <si>
    <t xml:space="preserve">Rolling forecasts</t>
  </si>
  <si>
    <t xml:space="preserve">Month-end close</t>
  </si>
  <si>
    <t xml:space="preserve">Sales forecast; collection forecast; cost-to-complete; cash forecast</t>
  </si>
  <si>
    <t xml:space="preserve">All modules → Spreadsheet / dashboards</t>
  </si>
  <si>
    <t xml:space="preserve">Unapproved reservations inflating pipeline; stale construction progress</t>
  </si>
  <si>
    <t xml:space="preserve">X2.1</t>
  </si>
  <si>
    <t xml:space="preserve">KPIs &amp; variance reporting</t>
  </si>
  <si>
    <t xml:space="preserve">Period close</t>
  </si>
  <si>
    <t xml:space="preserve">Budget vs actual by analytic account; absorption and sales velocity; collection efficiency; aging / DSO; % completion; cost variance</t>
  </si>
  <si>
    <t xml:space="preserve">Accounting budget report → dashboards / BI</t>
  </si>
  <si>
    <t xml:space="preserve">Timing differences (commitments vs actuals); reclassifications after close</t>
  </si>
  <si>
    <t xml:space="preserve">Object</t>
  </si>
  <si>
    <t xml:space="preserve">Owning process</t>
  </si>
  <si>
    <t xml:space="preserve">Key fields</t>
  </si>
  <si>
    <t xml:space="preserve">Indicative Odoo home</t>
  </si>
  <si>
    <t xml:space="preserve">Used by processes</t>
  </si>
  <si>
    <t xml:space="preserve">Company / entity</t>
  </si>
  <si>
    <t xml:space="preserve">Legal name, TIN, BIR registration, CAS permit, fiscal year</t>
  </si>
  <si>
    <t xml:space="preserve">res.company</t>
  </si>
  <si>
    <t xml:space="preserve">All</t>
  </si>
  <si>
    <t xml:space="preserve">Analytic plans</t>
  </si>
  <si>
    <t xml:space="preserve">Business unit, project, phase, cost center, expense type</t>
  </si>
  <si>
    <t xml:space="preserve">Accounting › Analytic plans</t>
  </si>
  <si>
    <t xml:space="preserve">01, 03, 06, 16, X2</t>
  </si>
  <si>
    <t xml:space="preserve">Budget line</t>
  </si>
  <si>
    <t xml:space="preserve">Version, account, analytic, period, amount, status</t>
  </si>
  <si>
    <t xml:space="preserve">Accounting › Budgets</t>
  </si>
  <si>
    <t xml:space="preserve">03, 06, 14, 16, X2</t>
  </si>
  <si>
    <t xml:space="preserve">Land parcel</t>
  </si>
  <si>
    <t xml:space="preserve">OCT/TCT, area, owner, cost, status, linked project</t>
  </si>
  <si>
    <t xml:space="preserve">Custom land register</t>
  </si>
  <si>
    <t xml:space="preserve">04, 05, 19</t>
  </si>
  <si>
    <t xml:space="preserve">Project / phase</t>
  </si>
  <si>
    <t xml:space="preserve">Code, type, phases, blocks/towers, WBS, permits, LTS</t>
  </si>
  <si>
    <t xml:space="preserve">project.project + analytic account</t>
  </si>
  <si>
    <t xml:space="preserve">06, 07, 09, X1</t>
  </si>
  <si>
    <t xml:space="preserve">Lot (unit master)</t>
  </si>
  <si>
    <t xml:space="preserve">Lot ID, project / phase / block, house model, lot and floor area, price, construction status, sales status, title no., current buyer / CTS</t>
  </si>
  <si>
    <t xml:space="preserve">Lot master model (vendor-proposed), linked to product.product and project analytic</t>
  </si>
  <si>
    <t xml:space="preserve">09–15, 18, 19</t>
  </si>
  <si>
    <t xml:space="preserve">Payment scheme</t>
  </si>
  <si>
    <t xml:space="preserve">Scheme type, RF, DP %/months, rate, term, validity</t>
  </si>
  <si>
    <t xml:space="preserve">Payment terms + custom scheme</t>
  </si>
  <si>
    <t xml:space="preserve">09, 11, 13</t>
  </si>
  <si>
    <t xml:space="preserve">Buyer / co-borrower</t>
  </si>
  <si>
    <t xml:space="preserve">Name, TIN, IDs, civil status, address, employer, SPA</t>
  </si>
  <si>
    <t xml:space="preserve">res.partner</t>
  </si>
  <si>
    <t xml:space="preserve">Broker / agent</t>
  </si>
  <si>
    <t xml:space="preserve">PRC license, DHSUD reg., TIN, tier, validity, parent firm</t>
  </si>
  <si>
    <t xml:space="preserve">res.partner (tagged)</t>
  </si>
  <si>
    <t xml:space="preserve">09, 17</t>
  </si>
  <si>
    <t xml:space="preserve">Contract to sell</t>
  </si>
  <si>
    <t xml:space="preserve">CTS no., unit, TCP, schedule, clauses, signatures</t>
  </si>
  <si>
    <t xml:space="preserve">sale.order + sign.request</t>
  </si>
  <si>
    <t xml:space="preserve">11, 12, 13, 17</t>
  </si>
  <si>
    <t xml:space="preserve">Buyer ledger / schedule</t>
  </si>
  <si>
    <t xml:space="preserve">Due lines, allocations, penalties, balance</t>
  </si>
  <si>
    <t xml:space="preserve">account.move / account.payment + custom schedule</t>
  </si>
  <si>
    <t xml:space="preserve">11, 12, 13, X1</t>
  </si>
  <si>
    <t xml:space="preserve">Vendor / contractor</t>
  </si>
  <si>
    <t xml:space="preserve">TIN, VAT status, ATC codes, bank, accreditation</t>
  </si>
  <si>
    <t xml:space="preserve">03, 06, 14, 16, 18</t>
  </si>
  <si>
    <t xml:space="preserve">Title record</t>
  </si>
  <si>
    <t xml:space="preserve">Mother / derivative title, eCAR, tax dec, custody, release</t>
  </si>
  <si>
    <t xml:space="preserve">Custom title tracker + documents.document</t>
  </si>
  <si>
    <t xml:space="preserve">04, 13, 19</t>
  </si>
  <si>
    <t xml:space="preserve">Service ticket</t>
  </si>
  <si>
    <t xml:space="preserve">Unit, category, SLA, warranty flag, cost</t>
  </si>
  <si>
    <t xml:space="preserve">helpdesk.ticket</t>
  </si>
  <si>
    <t xml:space="preserve">15, 18</t>
  </si>
  <si>
    <t xml:space="preserve">What it does to the Lot (vendor-proposed master model)</t>
  </si>
  <si>
    <t xml:space="preserve">Fields needed on Lot</t>
  </si>
  <si>
    <t xml:space="preserve">Vendor response</t>
  </si>
  <si>
    <t xml:space="preserve">04 Land acquisition · 05 Project setup</t>
  </si>
  <si>
    <t xml:space="preserve">Mother title and project / phase / block give the Lot its parent references</t>
  </si>
  <si>
    <t xml:space="preserve">06 Construction</t>
  </si>
  <si>
    <t xml:space="preserve">Updates construction status and % completion</t>
  </si>
  <si>
    <t xml:space="preserve">07 Inventory</t>
  </si>
  <si>
    <t xml:space="preserve">Creates the Lot, prices it, sets sales status to available</t>
  </si>
  <si>
    <t xml:space="preserve">09 Sales · 12 Cancellations</t>
  </si>
  <si>
    <t xml:space="preserve">Reserved → sold; cancelled → available again (return inventory)</t>
  </si>
  <si>
    <t xml:space="preserve">11 Accounts monitoring · 13 Takeout</t>
  </si>
  <si>
    <t xml:space="preserve">Buyer ledger, schedule and loan status hang off the Lot's active CTS</t>
  </si>
  <si>
    <t xml:space="preserve">15 Turnover · 18 Property management</t>
  </si>
  <si>
    <t xml:space="preserve">Turned-over flag, warranty dates, homeowner and dues</t>
  </si>
  <si>
    <t xml:space="preserve">19 Title delivery</t>
  </si>
  <si>
    <t xml:space="preserve">Derivative title number, custody and release</t>
  </si>
  <si>
    <t xml:space="preserve">#</t>
  </si>
  <si>
    <t xml:space="preserve">Item</t>
  </si>
  <si>
    <t xml:space="preserve">Decision</t>
  </si>
  <si>
    <t xml:space="preserve">Target date</t>
  </si>
  <si>
    <t xml:space="preserve">Status</t>
  </si>
  <si>
    <t xml:space="preserve">Q1</t>
  </si>
  <si>
    <t xml:space="preserve">TORC scope. TORC = taxes and other related charges. List each tax and charge PHI books under it, who shoulders each (buyer vs developer), and whether it is advanced and recharged or billed upfront.</t>
  </si>
  <si>
    <t xml:space="preserve">Open</t>
  </si>
  <si>
    <t xml:space="preserve">Q2</t>
  </si>
  <si>
    <t xml:space="preserve">Process numbering. Confirm the proposed numbers for 01–03, 05–13 and 17 so every BRD chapter uses one ID set.</t>
  </si>
  <si>
    <t xml:space="preserve">Q3</t>
  </si>
  <si>
    <t xml:space="preserve">Turnover eligibility. Which payment status allows turnover (equity paid, loan approved, fully paid) and who can approve exceptions?</t>
  </si>
  <si>
    <t xml:space="preserve">Q4</t>
  </si>
  <si>
    <t xml:space="preserve">Revenue recognition. Agree the PFRS 15 method, collectability threshold and POC source with the external auditor before the Accounting design.</t>
  </si>
  <si>
    <t xml:space="preserve">Q5</t>
  </si>
  <si>
    <t xml:space="preserve">Commission release rules. Tranches, clawback on cancellation, and treatment of in-house vs external brokers.</t>
  </si>
  <si>
    <t xml:space="preserve">Q6</t>
  </si>
  <si>
    <t xml:space="preserve">Invoicing compliance. Current BIR CAS permit status and e-invoicing timeline — decides whether Odoo prints the official invoice series from go-live.</t>
  </si>
  <si>
    <t xml:space="preserve">Q7</t>
  </si>
  <si>
    <t xml:space="preserve">Lot as master model (vendor proposal). Confirm whether "Lot" is a custom real-estate model or Odoo's serial/lot record (stock.lot), and how it represents condo units, parking slots, house-and-lot packages, and merged or split lots.</t>
  </si>
  <si>
    <t xml:space="preserve">Q8</t>
  </si>
  <si>
    <t xml:space="preserve">Lot status design. Separate construction status and sales status fields on the Lot, and who may change each (Construction, Sales admin, Credit &amp; collection, Titling).</t>
  </si>
  <si>
    <t xml:space="preserve">Q9</t>
  </si>
  <si>
    <t xml:space="preserve">Migration from In4 Velocity. How much buyer-ledger history moves (open balances only, or full payment history needed for Maceda computations)?</t>
  </si>
  <si>
    <t xml:space="preserve">Q10</t>
  </si>
  <si>
    <t xml:space="preserve">Approval matrix (DOA). Amount thresholds per document type, per company and per project to configure in Approvals.</t>
  </si>
  <si>
    <t xml:space="preserve">Gap analysis — blueprint (SIPOC + data matrix) vs vendor SOW</t>
  </si>
  <si>
    <t xml:space="preserve">Rating: Covered = SOW clearly delivers it · Partial = some of it, gaps listed · Not covered = absent. Yellow columns are for PHI and vendor responses.</t>
  </si>
  <si>
    <t xml:space="preserve">Summary</t>
  </si>
  <si>
    <t xml:space="preserve">Covered</t>
  </si>
  <si>
    <t xml:space="preserve">Partial</t>
  </si>
  <si>
    <t xml:space="preserve">Not covered</t>
  </si>
  <si>
    <t xml:space="preserve">High-priority gaps (processes)</t>
  </si>
  <si>
    <t xml:space="preserve">Processes assessed</t>
  </si>
  <si>
    <t xml:space="preserve">Deferred to next phase</t>
  </si>
  <si>
    <t xml:space="preserve">Blueprint requirement</t>
  </si>
  <si>
    <t xml:space="preserve">Coverage rating</t>
  </si>
  <si>
    <t xml:space="preserve">SOW coverage (section / item)</t>
  </si>
  <si>
    <t xml:space="preserve">Gaps and missing scope</t>
  </si>
  <si>
    <t xml:space="preserve">Priority</t>
  </si>
  <si>
    <t xml:space="preserve">Recommended action</t>
  </si>
  <si>
    <t xml:space="preserve">Matrix steps affected</t>
  </si>
  <si>
    <t xml:space="preserve">SOW items mapped</t>
  </si>
  <si>
    <t xml:space="preserve">Dev-days touching process*</t>
  </si>
  <si>
    <t xml:space="preserve">PHI owner response</t>
  </si>
  <si>
    <t xml:space="preserve">Corporate + life-of-project budgets by phase and cost code; budget cycle (prepare → consolidate → ManCom approval → lock); budget check on PR/PO/bill; realignment</t>
  </si>
  <si>
    <t xml:space="preserve">§3.1 G Finance Core (corporate &amp; department budget, burn-rate; TORC budget rule builder; project P&amp;L; budget vs actual)</t>
  </si>
  <si>
    <t xml:space="preserve">No budget preparation / consolidation / approval workflow or versioning; no multi-year project budget or re-baseline; budget check at PR/PO stage not stated (only TORC dispensing).</t>
  </si>
  <si>
    <t xml:space="preserve">High</t>
  </si>
  <si>
    <t xml:space="preserve">Clarify in BRD: budget cycle workflow, versions, PR/PO budget check. Price as CR if not in base.</t>
  </si>
  <si>
    <t xml:space="preserve">01.1, 01.2, 01.3</t>
  </si>
  <si>
    <t xml:space="preserve">Loan drawdown, allocation to projects, interest accrual and capitalization, debt service</t>
  </si>
  <si>
    <t xml:space="preserve">§3.3 #99–100 Company Loans (payment processing, schedule view, cash-flow forecast link)</t>
  </si>
  <si>
    <t xml:space="preserve">Debt service covered. Drawdown allocation per project, interest capitalization to project cost (and stop at completion), covenant tracking not mentioned.</t>
  </si>
  <si>
    <t xml:space="preserve">Medium</t>
  </si>
  <si>
    <t xml:space="preserve">Add allocation + capitalized-interest rules to BRD; confirm with Finance.</t>
  </si>
  <si>
    <t xml:space="preserve">Request → budget check → PO/contract → receipt → bill → AP for corporate spend</t>
  </si>
  <si>
    <t xml:space="preserve">§3.1 F Non-project payments (same approval &amp; posting pipeline); §3.2 Purchase, Accounting</t>
  </si>
  <si>
    <t xml:space="preserve">Petty cash / reimbursements (Odoo Expenses) not mentioned.</t>
  </si>
  <si>
    <t xml:space="preserve">Low</t>
  </si>
  <si>
    <t xml:space="preserve">Confirm Expenses app is in scope or handled manually.</t>
  </si>
  <si>
    <t xml:space="preserve">Due diligence, agreements, milestone payments, taxes and title transfer, land bank</t>
  </si>
  <si>
    <t xml:space="preserve">§3.1 C Land Acquisition; D Land banking register &amp; carrying costs; §3.3 #1–4, 12, 16–26, 29–30, 56–63, 86–87</t>
  </si>
  <si>
    <t xml:space="preserve">Strong coverage (multi-owner, DOAS, BIR/LGU filing tracker, land bank). JV with landowner paid in units (non-cash allocation) not mentioned; CARP/heirs flags depend on DD checklist content.</t>
  </si>
  <si>
    <t xml:space="preserve">Confirm JV / land-for-units treatment in Discovery.</t>
  </si>
  <si>
    <t xml:space="preserve">04.1, 04.2, 04.3</t>
  </si>
  <si>
    <t xml:space="preserve">Project master, phases/WBS, analytic account, permits (DP, ECC, BP, CR/LTS); block selling without LTS</t>
  </si>
  <si>
    <t xml:space="preserve">§3.1 C Project Setup Wizard, launch readiness gate; D Land bank → project conversion; §3.3 #6–15, 37, 62, 70</t>
  </si>
  <si>
    <t xml:space="preserve">No explicit permit / License to Sell tracker; 5-criteria launch gate is land-oriented (title, payments, construction) — LTS not listed as a criterion. Wizard Step 1 (Info) is in §3.1 but not itemized in §3.3.</t>
  </si>
  <si>
    <t xml:space="preserve">Add LTS / DHSUD permits as a launch-gate criterion and permit register. Ask why Step 1 is unpriced.</t>
  </si>
  <si>
    <t xml:space="preserve">Contract award, progress billing with retention and DP recoupment, variation orders, % completion, POC link</t>
  </si>
  <si>
    <t xml:space="preserve">§3.1 B Subcontractor billing workflow; F Contracts &amp; deliverables (milestones, retention); D construction schedule, cost ledger; §3.3 #66–69</t>
  </si>
  <si>
    <t xml:space="preserve">Retention and milestone release covered. DP recoupment, variation orders, liquidated damages, back-charges not mentioned. BOQ listed in §3.2 but no build item. % completion does not feed revenue recognition (see C1).</t>
  </si>
  <si>
    <t xml:space="preserve">Walk vendor through 06.1 exceptions; get written coverage or CR price.</t>
  </si>
  <si>
    <t xml:space="preserve">Lot as unit master, pricing and escalation, construction + sales status, financing schemes and payment terms</t>
  </si>
  <si>
    <t xml:space="preserve">§3.1 D Inventory (Lot master, pricing floor, governed status workflow); H pricing rules engine; §3.3 #5, 16, 27–28, 69, 73</t>
  </si>
  <si>
    <t xml:space="preserve">Lot model (lam.lot) is built around block/lot land parcels. Condo units (tower-floor-unit), parking slots and house-and-lot packages not addressed. Pag-IBIG not listed among pricing schemes in H (only in Customer Loans).</t>
  </si>
  <si>
    <t xml:space="preserve">Confirm the Lot model handles vertical projects before sign-off.</t>
  </si>
  <si>
    <t xml:space="preserve">07.1, 07.2</t>
  </si>
  <si>
    <t xml:space="preserve">Broker/agent accreditation, PRC/DHSUD/TIN docs, validity, commission scheme</t>
  </si>
  <si>
    <t xml:space="preserve">§3.1 E Partner &amp; accreditation; §3.3 #40, 48–49, 55, 64</t>
  </si>
  <si>
    <t xml:space="preserve">Expiry alerts included. Agent moving firms mid-deal not explicit.</t>
  </si>
  <si>
    <t xml:space="preserve">Confirm in BRD.</t>
  </si>
  <si>
    <t xml:space="preserve">Sales computation, reservation, document &amp; credit check, CTS generation and notarization, payment schedule, revenue recognition</t>
  </si>
  <si>
    <t xml:space="preserve">§3.1 H Reservation; E Sales; A buyer docs (OCR); §3.3 #31–39, 50–52, 54</t>
  </si>
  <si>
    <t xml:space="preserve">Reservation → SO flow is strong. No Contract to Sell (CTS) document template, signing and notarization tracking — the SO stands in for the contract. No credit-evaluation step. Discount approval implied, not explicit.</t>
  </si>
  <si>
    <t xml:space="preserve">Add CTS generation (template, e-sign/notarization status) and credit check to scope.</t>
  </si>
  <si>
    <t xml:space="preserve">09.1, 09.2, 09.3</t>
  </si>
  <si>
    <t xml:space="preserve">Lease term sheet, contract, recurring rent/CUSA billing, deposits, renewals</t>
  </si>
  <si>
    <t xml:space="preserve">None</t>
  </si>
  <si>
    <t xml:space="preserve">Leasing is absent from the SOW.</t>
  </si>
  <si>
    <t xml:space="preserve">Deferred to a later phase by PHI decision. Not included in the vendor clarification letter; no pricing requested.</t>
  </si>
  <si>
    <t xml:space="preserve">Deferred (next phase)</t>
  </si>
  <si>
    <t xml:space="preserve">Buyer documents, BIR-compliant receipting, collection posting and allocation, SOA, penalties, aging, demand letters</t>
  </si>
  <si>
    <t xml:space="preserve">§3.1 I Customer Loans (allocation, statements, aging); J Customer Servicing (SOA); §3.3 #34, 39, 74–77, 95, 97–98</t>
  </si>
  <si>
    <t xml:space="preserve">Allocation (penalty → interest → principal), SOA, grace period and aging covered. PDC warehousing and bounced checks, demand-letter generation and BIR-registered invoice/receipt series not mentioned.</t>
  </si>
  <si>
    <t xml:space="preserve">Add PDC management and demand letters; confirm BIR invoice series (see C2).</t>
  </si>
  <si>
    <t xml:space="preserve">11.1, 11.2, 11.3</t>
  </si>
  <si>
    <t xml:space="preserve">Maceda-compliant cancellation: grace, notarial notice, cash surrender value, refund/forfeiture, reversals, return to inventory</t>
  </si>
  <si>
    <t xml:space="preserve">§3.3 #36 (SO cancel releases lot), #43 (commission clawback), H reservation cancel/release</t>
  </si>
  <si>
    <t xml:space="preserve">Only the inventory release and commission clawback are covered. No RA 6552 cash-surrender-value computation, notice tracking, refund processing, forfeiture income or AR/revenue reversal.</t>
  </si>
  <si>
    <t xml:space="preserve">Add a cancellation workflow with Maceda calculator as base scope, not CR — it is a statutory requirement.</t>
  </si>
  <si>
    <t xml:space="preserve">Bank/Pag-IBIG takeout tracking (requirements, LOG/NOA, release, proceeds) and in-house financing</t>
  </si>
  <si>
    <t xml:space="preserve">§3.1 I Customer Loans &amp; Financing; B turnover aging uses takeout status; §3.3 #39, 96–98</t>
  </si>
  <si>
    <t xml:space="preserve">IHF is well covered (amortization, restructuring, compounding). Takeout workflow — requirements checklist, submission, LOG/NOA, title annotation, proceeds release, Pag-IBIG buyback — is only implied via a takeout status.</t>
  </si>
  <si>
    <t xml:space="preserve">Specify takeout tracker fields and stages in BRD.</t>
  </si>
  <si>
    <t xml:space="preserve">13.1, 13.2</t>
  </si>
  <si>
    <t xml:space="preserve">TORC = taxes and other related charges on title transfer: compute, fund, pay agencies, liquidate, recharge to buyer</t>
  </si>
  <si>
    <t xml:space="preserve">§3.1 F Project payments (TORC): budget vs actual per project/lot; G TORC budget rule builder &amp; dispensing engine</t>
  </si>
  <si>
    <t xml:space="preserve">The SOW treats TORC as a project budget-dispensing mechanism. Buyer-side taxes and charges, recharge to buyer ledger and liquidation of cash advances are not described. Definitions may not match.</t>
  </si>
  <si>
    <t xml:space="preserve">Align the TORC definition with the vendor in writing before BRD.</t>
  </si>
  <si>
    <t xml:space="preserve">Buyer turnover eligibility, joint inspection, punch list, acceptance, keys, warranty</t>
  </si>
  <si>
    <t xml:space="preserve">§3.1 B turnover aging; §3.3 #72, 79, 85 (turnover &amp; dual signatures, portal move-in status, defect tickets)</t>
  </si>
  <si>
    <t xml:space="preserve">Warranty period tracking not mentioned. Note: 'Turnover' in §3.3 #70–73 means the internal land → sales hand-off, not buyer turnover.</t>
  </si>
  <si>
    <t xml:space="preserve">Keep the two meanings of 'turnover' separate in the BRD glossary.</t>
  </si>
  <si>
    <t xml:space="preserve">Invoice capture, 3-way match, approval (DOA), EWT, payment, BIR 2307</t>
  </si>
  <si>
    <t xml:space="preserve">§3.1 F Supplier &amp; payments (approval matrix, roll-up, retention, T-7 alerts); §3.3 #45, 59–60</t>
  </si>
  <si>
    <t xml:space="preserve">EWT named in objectives; BIR 2307 / SAWT / QAP / alphalist outputs not listed explicitly.</t>
  </si>
  <si>
    <t xml:space="preserve">Confirm PH localization outputs (see C2).</t>
  </si>
  <si>
    <t xml:space="preserve">16.1, 16.2</t>
  </si>
  <si>
    <t xml:space="preserve">Commission accrual, tranche release, splits, EWT, clawback, non-cash incentives</t>
  </si>
  <si>
    <t xml:space="preserve">§3.1 A, E compensation engine &amp; payout; §3.3 #41–47, 53, 91</t>
  </si>
  <si>
    <t xml:space="preserve">Well covered, including vesting, clawback and disputes.</t>
  </si>
  <si>
    <t xml:space="preserve">None.</t>
  </si>
  <si>
    <t xml:space="preserve">Homeowner onboarding, dues billing and collection, servicing, PM expenses, HOA turnover</t>
  </si>
  <si>
    <t xml:space="preserve">§3.3 #81–84 Helpdesk (servicing only)</t>
  </si>
  <si>
    <t xml:space="preserve">Only servicing tickets are covered. Association dues billing/collection, HOA fund accounting and HOA turnover are absent.</t>
  </si>
  <si>
    <t xml:space="preserve">18.1, 18.2, 18.3</t>
  </si>
  <si>
    <t xml:space="preserve">Buyer title transfer: DOAS, taxes/fees, eCAR, new TCT/CCT, release to buyer or bank</t>
  </si>
  <si>
    <t xml:space="preserve">§3.1 A title status integration (Pre-BIR → Title Release); §3.3 #29 Title tab, #78 portal documents</t>
  </si>
  <si>
    <t xml:space="preserve">Status visibility is covered. The processing workflow (documents, fee payment, eCAR, RD transfer, release to lender) is not itemized — the BIR/LGU filing tracker (#26) is for land acquisition.</t>
  </si>
  <si>
    <t xml:space="preserve">Extend #26 filing tracker to buyer title transfer.</t>
  </si>
  <si>
    <t xml:space="preserve">Rolling sales, collection, cost-to-complete and cash forecasts</t>
  </si>
  <si>
    <t xml:space="preserve">§3.1 G company performance report (cash-flow projections); §3.3 #100 cash-flow forecast link</t>
  </si>
  <si>
    <t xml:space="preserve">Cash-flow projection mentioned. Sales and collection forecasts and cost-to-complete not described.</t>
  </si>
  <si>
    <t xml:space="preserve">Define forecast outputs in BRD.</t>
  </si>
  <si>
    <t xml:space="preserve">Budget vs actual and KPI reporting across processes</t>
  </si>
  <si>
    <t xml:space="preserve">§3.1 G Finance BI; many dashboards (§3.3 #1–6, 86–91)</t>
  </si>
  <si>
    <t xml:space="preserve">Well covered.</t>
  </si>
  <si>
    <t xml:space="preserve">* Items that touch several processes are counted in each, so this column does not sum to the SOW total.</t>
  </si>
  <si>
    <t xml:space="preserve">Cross-cutting gaps</t>
  </si>
  <si>
    <t xml:space="preserve">Topic</t>
  </si>
  <si>
    <t xml:space="preserve">SOW reference</t>
  </si>
  <si>
    <t xml:space="preserve">Gap</t>
  </si>
  <si>
    <t xml:space="preserve">C1</t>
  </si>
  <si>
    <t xml:space="preserve">Revenue recognition (PFRS 15, over-time / % of completion)</t>
  </si>
  <si>
    <t xml:space="preserve">Not in SOW</t>
  </si>
  <si>
    <t xml:space="preserve">No mention of revenue recognition, POC journals or significant financing component — central to a developer's financials.</t>
  </si>
  <si>
    <t xml:space="preserve">Add to Finance Core; agree method with external auditor first.</t>
  </si>
  <si>
    <t xml:space="preserve">C2</t>
  </si>
  <si>
    <t xml:space="preserve">BIR compliance detail</t>
  </si>
  <si>
    <t xml:space="preserve">Objectives mention EWT and BIR; §9 excludes non-PH filings</t>
  </si>
  <si>
    <t xml:space="preserve">CAS permit / registered invoice series, EOPT invoicing rules, e-invoicing (EIS), 2307, SAWT, QAP, alphalist and VAT on real property thresholds are not itemized.</t>
  </si>
  <si>
    <t xml:space="preserve">Get a written list of PH statutory outputs delivered.</t>
  </si>
  <si>
    <t xml:space="preserve">C3</t>
  </si>
  <si>
    <t xml:space="preserve">Data migration from In4 Velocity</t>
  </si>
  <si>
    <t xml:space="preserve">§3.4 data migration; §7 CSV Rule; §9 excludes history beyond cut-off</t>
  </si>
  <si>
    <t xml:space="preserve">Only templated master data and opening balances. Maceda computations need full payment history (years paid); commission and takeout status also need history.</t>
  </si>
  <si>
    <t xml:space="preserve">Agree cut-off and which buyer-ledger history migrates; size it now, not as flex.</t>
  </si>
  <si>
    <t xml:space="preserve">C4</t>
  </si>
  <si>
    <t xml:space="preserve">Vertical / condo projects in the Lot model</t>
  </si>
  <si>
    <t xml:space="preserve">§3.1 D, §8 (existing Lot model 'stable and documented')</t>
  </si>
  <si>
    <t xml:space="preserve">Lot model is land-lot based (block/lot, TCT). CCT titles, tower-floor-unit, parking not addressed.</t>
  </si>
  <si>
    <t xml:space="preserve">Confirm project mix and model design.</t>
  </si>
  <si>
    <t xml:space="preserve">C5</t>
  </si>
  <si>
    <t xml:space="preserve">Existing internal systems</t>
  </si>
  <si>
    <t xml:space="preserve">§9 limits integrations to CSV/MT940 imports</t>
  </si>
  <si>
    <t xml:space="preserve">No data feed to PHI's existing internal systems (e.g., BI dashboards, SharePoint document stores).</t>
  </si>
  <si>
    <t xml:space="preserve">List systems that must read Odoo data; decide API vs export.</t>
  </si>
  <si>
    <t xml:space="preserve">C6</t>
  </si>
  <si>
    <t xml:space="preserve">Mockups referenced but not attached</t>
  </si>
  <si>
    <t xml:space="preserve">§3.3 'based on the Mockups'</t>
  </si>
  <si>
    <t xml:space="preserve">Scope items are defined by mockups that are not part of the SOW; items #62–64 have no description at all.</t>
  </si>
  <si>
    <t xml:space="preserve">Attach mockups as an SOW annex; describe #62–64.</t>
  </si>
  <si>
    <t xml:space="preserve">In the SOW but not yet in the blueprint (update the blueprint)</t>
  </si>
  <si>
    <t xml:space="preserve">SOW capability</t>
  </si>
  <si>
    <t xml:space="preserve">Blueprint process(es)</t>
  </si>
  <si>
    <t xml:space="preserve">Suggested blueprint update</t>
  </si>
  <si>
    <t xml:space="preserve">S1</t>
  </si>
  <si>
    <t xml:space="preserve">Buyer self-service portal (SOA, payments, documents, concerns, turnover status)</t>
  </si>
  <si>
    <t xml:space="preserve">11, 15, 19</t>
  </si>
  <si>
    <t xml:space="preserve">Add portal as a channel in SIPOC for 11 and 15</t>
  </si>
  <si>
    <t xml:space="preserve">S2</t>
  </si>
  <si>
    <t xml:space="preserve">Broker / agent portal (listings, lead registration, reservation requests, commission view)</t>
  </si>
  <si>
    <t xml:space="preserve">08, 09, 17</t>
  </si>
  <si>
    <t xml:space="preserve">Add as a channel in 08 and 09</t>
  </si>
  <si>
    <t xml:space="preserve">S3</t>
  </si>
  <si>
    <t xml:space="preserve">Supplier accreditation workflow and performance rating</t>
  </si>
  <si>
    <t xml:space="preserve">03, 06, 16</t>
  </si>
  <si>
    <t xml:space="preserve">Add supplier accreditation as a step in procure-to-pay</t>
  </si>
  <si>
    <t xml:space="preserve">S4</t>
  </si>
  <si>
    <t xml:space="preserve">Land banking register, carrying cost ledger and conversion to project</t>
  </si>
  <si>
    <t xml:space="preserve">04, 05</t>
  </si>
  <si>
    <t xml:space="preserve">Add land bank to 04 outputs and 05 inputs</t>
  </si>
  <si>
    <t xml:space="preserve">S5</t>
  </si>
  <si>
    <t xml:space="preserve">5-criteria launch readiness gate and internal land → sales turnover</t>
  </si>
  <si>
    <t xml:space="preserve">05, 07</t>
  </si>
  <si>
    <t xml:space="preserve">Add gate to diagram B before lot creation</t>
  </si>
  <si>
    <t xml:space="preserve">S6</t>
  </si>
  <si>
    <t xml:space="preserve">Helpdesk with SLA, CSAT and construction punch-list</t>
  </si>
  <si>
    <t xml:space="preserve">Add CSAT and SLA to 15 / 18 outputs</t>
  </si>
  <si>
    <t xml:space="preserve">S7</t>
  </si>
  <si>
    <t xml:space="preserve">Company loan payment processing</t>
  </si>
  <si>
    <t xml:space="preserve">Already in 02 — confirm scope depth</t>
  </si>
  <si>
    <t xml:space="preserve">S8</t>
  </si>
  <si>
    <t xml:space="preserve">Document OCR for buyer IDs and proof of income</t>
  </si>
  <si>
    <t xml:space="preserve">09, 11</t>
  </si>
  <si>
    <t xml:space="preserve">Add to 11.1 hand-off</t>
  </si>
  <si>
    <t xml:space="preserve">SOW §3.3 customizations mapped to blueprint processes</t>
  </si>
  <si>
    <t xml:space="preserve">Source: Achieve Without Borders SOW S343096 (Odoo v19), dated 24 Sep 2026. Dev man-days transcribed as stated in the SOW.</t>
  </si>
  <si>
    <t xml:space="preserve">Section</t>
  </si>
  <si>
    <t xml:space="preserve">Feature</t>
  </si>
  <si>
    <t xml:space="preserve">Dev man-days</t>
  </si>
  <si>
    <t xml:space="preserve">Process name(s)</t>
  </si>
  <si>
    <t xml:space="preserve">Dashboard</t>
  </si>
  <si>
    <t xml:space="preserve">Acquisition KPI Cards</t>
  </si>
  <si>
    <t xml:space="preserve">Attention Required List</t>
  </si>
  <si>
    <t xml:space="preserve">Project Progress Bars</t>
  </si>
  <si>
    <t xml:space="preserve">Quick Navigation</t>
  </si>
  <si>
    <t xml:space="preserve">Lot Inventory</t>
  </si>
  <si>
    <t xml:space="preserve">Project</t>
  </si>
  <si>
    <t xml:space="preserve">Projects &amp; Pipeline</t>
  </si>
  <si>
    <t xml:space="preserve">Project Consolidated View</t>
  </si>
  <si>
    <t xml:space="preserve">Land acquisition; Project setup &amp; project financing</t>
  </si>
  <si>
    <t xml:space="preserve">Project Search &amp; Filters</t>
  </si>
  <si>
    <t xml:space="preserve">Project Setup Wizard</t>
  </si>
  <si>
    <t xml:space="preserve">Step 2 - Site Details</t>
  </si>
  <si>
    <t xml:space="preserve">Step 3 - Targets</t>
  </si>
  <si>
    <t xml:space="preserve">Step 4 - Team Assignment</t>
  </si>
  <si>
    <t xml:space="preserve">Step 5 - Milestone Template</t>
  </si>
  <si>
    <t xml:space="preserve">Step 6 - Documents</t>
  </si>
  <si>
    <t xml:space="preserve">Step 7 - Review &amp; Launch</t>
  </si>
  <si>
    <t xml:space="preserve">Sample Form Previews</t>
  </si>
  <si>
    <t xml:space="preserve">Lot Onboarding Form</t>
  </si>
  <si>
    <t xml:space="preserve">Lot Master Data</t>
  </si>
  <si>
    <t xml:space="preserve">04, 07</t>
  </si>
  <si>
    <t xml:space="preserve">Land acquisition; Inventory &amp; financing options setup</t>
  </si>
  <si>
    <t xml:space="preserve">Pricing &amp; Source</t>
  </si>
  <si>
    <t xml:space="preserve">Seller/Owner Details</t>
  </si>
  <si>
    <t xml:space="preserve">Attachments Checklist</t>
  </si>
  <si>
    <t xml:space="preserve">Auto Due-Diligence Checklist</t>
  </si>
  <si>
    <t xml:space="preserve">Approval Route</t>
  </si>
  <si>
    <t xml:space="preserve">Bulk Lot Onboarding Wizard</t>
  </si>
  <si>
    <t xml:space="preserve">Acquisition &amp; Payments (Multi-Owner)</t>
  </si>
  <si>
    <t xml:space="preserve">Multi-Owner Land Sources</t>
  </si>
  <si>
    <t xml:space="preserve">Per-Owner Milestone Schedule</t>
  </si>
  <si>
    <t xml:space="preserve">Auto-Drafted Deed of Absolute Sale</t>
  </si>
  <si>
    <t xml:space="preserve">BIR / LGU Filing Tracker</t>
  </si>
  <si>
    <t xml:space="preserve">Lot Detail &amp; Lifecycle</t>
  </si>
  <si>
    <t xml:space="preserve">Lot Lock / Reusable Pill</t>
  </si>
  <si>
    <t xml:space="preserve">07, 09</t>
  </si>
  <si>
    <t xml:space="preserve">Inventory &amp; financing options setup; Sales (reservation to contract to sell)</t>
  </si>
  <si>
    <t xml:space="preserve">Locked Ribbon &amp; Kanban Lock Icons</t>
  </si>
  <si>
    <t xml:space="preserve">Title Tab</t>
  </si>
  <si>
    <t xml:space="preserve">04, 19</t>
  </si>
  <si>
    <t xml:space="preserve">Land acquisition; Title delivery</t>
  </si>
  <si>
    <t xml:space="preserve">DD / Milestones / Construction Tabs</t>
  </si>
  <si>
    <t xml:space="preserve">04, 06</t>
  </si>
  <si>
    <t xml:space="preserve">Land acquisition; Project expenses &amp; construction (milestone-based)</t>
  </si>
  <si>
    <t xml:space="preserve">CRM → Reservation → Sales Order</t>
  </si>
  <si>
    <t xml:space="preserve">Lot Interest &amp; Availability Browser</t>
  </si>
  <si>
    <t xml:space="preserve">Reserve Lot from Opportunity</t>
  </si>
  <si>
    <t xml:space="preserve">Soft-Hold with Expiry (Reservation)</t>
  </si>
  <si>
    <t xml:space="preserve">Reservation Fee Payment &amp; Receipt</t>
  </si>
  <si>
    <t xml:space="preserve">Sales (reservation to contract to sell); Accounts monitoring (documentation, receipting, collection)</t>
  </si>
  <si>
    <t xml:space="preserve">Opportunity Won → Auto-Create Sales Order</t>
  </si>
  <si>
    <t xml:space="preserve">SO Confirm / Lot Lock Flow</t>
  </si>
  <si>
    <t xml:space="preserve">09, 12</t>
  </si>
  <si>
    <t xml:space="preserve">Sales (reservation to contract to sell); Cancellations &amp; return to inventory</t>
  </si>
  <si>
    <t xml:space="preserve">Launch-Readiness Gate on SO Confirm</t>
  </si>
  <si>
    <t xml:space="preserve">05, 09</t>
  </si>
  <si>
    <t xml:space="preserve">Project setup &amp; project financing; Sales (reservation to contract to sell)</t>
  </si>
  <si>
    <t xml:space="preserve">Double-Sell / Double-Reserve Constraint</t>
  </si>
  <si>
    <t xml:space="preserve">Customer Payment Schedule Generator</t>
  </si>
  <si>
    <t xml:space="preserve">Sales (reservation to contract to sell); Accounts monitoring (documentation, receipting, collection); Bank / Pag-IBIG takeout &amp; in-house financing</t>
  </si>
  <si>
    <t xml:space="preserve">Broker Commission</t>
  </si>
  <si>
    <t xml:space="preserve">Broker / Agent Master Record</t>
  </si>
  <si>
    <t xml:space="preserve">Commission Plan Setup</t>
  </si>
  <si>
    <t xml:space="preserve">Commission Tagging on Reservation / SO</t>
  </si>
  <si>
    <t xml:space="preserve">Commission Computation Engine</t>
  </si>
  <si>
    <t xml:space="preserve">Commission Release / Vesting Rules</t>
  </si>
  <si>
    <t xml:space="preserve">Commission Voucher &amp; Payout</t>
  </si>
  <si>
    <t xml:space="preserve">16, 17</t>
  </si>
  <si>
    <t xml:space="preserve">Accounts payable processing; Commissions &amp; sales incentives</t>
  </si>
  <si>
    <t xml:space="preserve">Broker Commission Statement</t>
  </si>
  <si>
    <t xml:space="preserve">Commission Audit &amp; Disputes</t>
  </si>
  <si>
    <t xml:space="preserve">Broker Portal</t>
  </si>
  <si>
    <t xml:space="preserve">Broker Portal Login &amp; Access</t>
  </si>
  <si>
    <t xml:space="preserve">My Listings &amp; Lot Availability</t>
  </si>
  <si>
    <t xml:space="preserve">07, 08</t>
  </si>
  <si>
    <t xml:space="preserve">Inventory &amp; financing options setup; Sales channel accreditation</t>
  </si>
  <si>
    <t xml:space="preserve">Register Lead / Buyer Referral</t>
  </si>
  <si>
    <t xml:space="preserve">Reservation Request via Portal</t>
  </si>
  <si>
    <t xml:space="preserve">Deal Status Tracker</t>
  </si>
  <si>
    <t xml:space="preserve">Commission Visibility</t>
  </si>
  <si>
    <t xml:space="preserve">Document Upload</t>
  </si>
  <si>
    <t xml:space="preserve">Portal Notifications</t>
  </si>
  <si>
    <t xml:space="preserve">Payment Milestones &amp; Reminders</t>
  </si>
  <si>
    <t xml:space="preserve">Milestone Templates</t>
  </si>
  <si>
    <t xml:space="preserve">Lot Milestones</t>
  </si>
  <si>
    <t xml:space="preserve">Automated Payment Reminders</t>
  </si>
  <si>
    <t xml:space="preserve">04, 11</t>
  </si>
  <si>
    <t xml:space="preserve">Land acquisition; Accounts monitoring (documentation, receipting, collection)</t>
  </si>
  <si>
    <t xml:space="preserve">Invoice Generation from Milestones</t>
  </si>
  <si>
    <t xml:space="preserve">04, 16</t>
  </si>
  <si>
    <t xml:space="preserve">Land acquisition; Accounts payable processing</t>
  </si>
  <si>
    <t xml:space="preserve">Approvals &amp; Documents</t>
  </si>
  <si>
    <t xml:space="preserve">Milestone Release Approvals</t>
  </si>
  <si>
    <t xml:space="preserve">Central Document Repository</t>
  </si>
  <si>
    <t xml:space="preserve">Project Approval Workflow</t>
  </si>
  <si>
    <t xml:space="preserve">Lot Approval Workflow</t>
  </si>
  <si>
    <t xml:space="preserve">Broker Approval Workflow</t>
  </si>
  <si>
    <t xml:space="preserve">Audit Logs</t>
  </si>
  <si>
    <t xml:space="preserve">Construction Monitoring</t>
  </si>
  <si>
    <t xml:space="preserve">Progress Photo Gallery</t>
  </si>
  <si>
    <t xml:space="preserve">Cluster Health Board</t>
  </si>
  <si>
    <t xml:space="preserve">Cluster Alert Cron</t>
  </si>
  <si>
    <t xml:space="preserve">Construction % to Stage</t>
  </si>
  <si>
    <t xml:space="preserve">06, 07</t>
  </si>
  <si>
    <t xml:space="preserve">Project expenses &amp; construction (milestone-based); Inventory &amp; financing options setup</t>
  </si>
  <si>
    <t xml:space="preserve">Launch Readiness &amp; Turnover</t>
  </si>
  <si>
    <t xml:space="preserve">5-Criteria Launch Readiness Gate</t>
  </si>
  <si>
    <t xml:space="preserve">Pre-Turnover Inspection Checklist</t>
  </si>
  <si>
    <t xml:space="preserve">Turnover Inspection &amp; Dual Signatures</t>
  </si>
  <si>
    <t xml:space="preserve">05, 15</t>
  </si>
  <si>
    <t xml:space="preserve">Project setup &amp; project financing; Unit preparation &amp; delivery</t>
  </si>
  <si>
    <t xml:space="preserve">CRM / Saleable Unit Hand-off</t>
  </si>
  <si>
    <t xml:space="preserve">Customer Portal</t>
  </si>
  <si>
    <t xml:space="preserve">My Lots &amp; Purchase Summary</t>
  </si>
  <si>
    <t xml:space="preserve">Payment Schedule &amp; Balance</t>
  </si>
  <si>
    <t xml:space="preserve">Online Payment / Payment Submission</t>
  </si>
  <si>
    <t xml:space="preserve">Payment Reminders &amp; Receipts</t>
  </si>
  <si>
    <t xml:space="preserve">Document Access</t>
  </si>
  <si>
    <t xml:space="preserve">11, 19</t>
  </si>
  <si>
    <t xml:space="preserve">Accounts monitoring (documentation, receipting, collection); Title delivery</t>
  </si>
  <si>
    <t xml:space="preserve">Turnover &amp; Move-In Status</t>
  </si>
  <si>
    <t xml:space="preserve">Profile &amp; Contact Management</t>
  </si>
  <si>
    <t xml:space="preserve">Helpdesk</t>
  </si>
  <si>
    <t xml:space="preserve">Ticket Intake Channels</t>
  </si>
  <si>
    <t xml:space="preserve">Unit preparation &amp; delivery; Property management</t>
  </si>
  <si>
    <t xml:space="preserve">Ticket Categories &amp; SLA</t>
  </si>
  <si>
    <t xml:space="preserve">Ticket Assignment &amp; Routing</t>
  </si>
  <si>
    <t xml:space="preserve">Ticket Workbench</t>
  </si>
  <si>
    <t xml:space="preserve">Defect / Punch-List Tickets</t>
  </si>
  <si>
    <t xml:space="preserve">Reporting &amp; BI</t>
  </si>
  <si>
    <t xml:space="preserve">Cost vs Paid Analysis</t>
  </si>
  <si>
    <t xml:space="preserve">04, X2</t>
  </si>
  <si>
    <t xml:space="preserve">Land acquisition; KPIs &amp; variance reports</t>
  </si>
  <si>
    <t xml:space="preserve">Milestone Aging Report</t>
  </si>
  <si>
    <t xml:space="preserve">Summary Reports (PDF/XLSX)</t>
  </si>
  <si>
    <t xml:space="preserve">Audit / Status Reports</t>
  </si>
  <si>
    <t xml:space="preserve">Customer (BI and Report)</t>
  </si>
  <si>
    <t xml:space="preserve">11, X2</t>
  </si>
  <si>
    <t xml:space="preserve">Accounts monitoring (documentation, receipting, collection); KPIs &amp; variance reports</t>
  </si>
  <si>
    <t xml:space="preserve">Broker (BI and Report)</t>
  </si>
  <si>
    <t xml:space="preserve">17, X2</t>
  </si>
  <si>
    <t xml:space="preserve">Commissions &amp; sales incentives; KPIs &amp; variance reports</t>
  </si>
  <si>
    <t xml:space="preserve">Configuration &amp; Settings</t>
  </si>
  <si>
    <t xml:space="preserve">Reminder Offsets</t>
  </si>
  <si>
    <t xml:space="preserve">Cluster Thresholds</t>
  </si>
  <si>
    <t xml:space="preserve">SO Gating Toggle</t>
  </si>
  <si>
    <t xml:space="preserve">Grace Period</t>
  </si>
  <si>
    <t xml:space="preserve">Customer Loans</t>
  </si>
  <si>
    <t xml:space="preserve">Customer Loan Configuration</t>
  </si>
  <si>
    <t xml:space="preserve">Automated Customer Loan Payment Processing</t>
  </si>
  <si>
    <t xml:space="preserve">11, 13</t>
  </si>
  <si>
    <t xml:space="preserve">Accounts monitoring (documentation, receipting, collection); Bank / Pag-IBIG takeout &amp; in-house financing</t>
  </si>
  <si>
    <t xml:space="preserve">Customer Payment Schedule List View</t>
  </si>
  <si>
    <t xml:space="preserve">Company Loans</t>
  </si>
  <si>
    <t xml:space="preserve">Automated Company Loan Payment Processing</t>
  </si>
  <si>
    <t xml:space="preserve">02, 16</t>
  </si>
  <si>
    <t xml:space="preserve">Corporate &amp; project financing; Accounts payable processing</t>
  </si>
  <si>
    <t xml:space="preserve">Company Loan Schedule List View</t>
  </si>
  <si>
    <t xml:space="preserve">02, X1</t>
  </si>
  <si>
    <t xml:space="preserve">Corporate &amp; project financing; Forecasts</t>
  </si>
  <si>
    <t xml:space="preserve">Total itemized dev man-days</t>
  </si>
  <si>
    <t xml:space="preserve">Section subtotal check</t>
  </si>
  <si>
    <t xml:space="preserve">SOW stated subtotal</t>
  </si>
  <si>
    <t xml:space="preserve">Computed from items</t>
  </si>
  <si>
    <t xml:space="preserve">Difference</t>
  </si>
  <si>
    <t xml:space="preserve">Blue = figures typed from the SOW. Differences of 0.00 mean the SOW section subtotals add up.</t>
  </si>
  <si>
    <t xml:space="preserve">SOW §5.1 effort table — arithmetic and capacity check</t>
  </si>
  <si>
    <t xml:space="preserve">Figures typed from §5.1 in blue. As printed, the Dev Lead column carries more days than Developer; ask the vendor to confirm.</t>
  </si>
  <si>
    <t xml:space="preserve">Workstream</t>
  </si>
  <si>
    <t xml:space="preserve">Lead Functional Consultant</t>
  </si>
  <si>
    <t xml:space="preserve">BA</t>
  </si>
  <si>
    <t xml:space="preserve">Dev Lead</t>
  </si>
  <si>
    <t xml:space="preserve">Developer</t>
  </si>
  <si>
    <t xml:space="preserve">QA</t>
  </si>
  <si>
    <t xml:space="preserve">Infra</t>
  </si>
  <si>
    <t xml:space="preserve">SOW stated total</t>
  </si>
  <si>
    <t xml:space="preserve">Computed total</t>
  </si>
  <si>
    <t xml:space="preserve">CRM, Buyer &amp; Agent Portal</t>
  </si>
  <si>
    <t xml:space="preserve">Land Acquisition</t>
  </si>
  <si>
    <t xml:space="preserve">Inventory Management</t>
  </si>
  <si>
    <t xml:space="preserve">Sales Management &amp; Commissions</t>
  </si>
  <si>
    <t xml:space="preserve">Supplier &amp; Payments</t>
  </si>
  <si>
    <t xml:space="preserve">Finance Core &amp; TORC Budget</t>
  </si>
  <si>
    <t xml:space="preserve">Reservation Management</t>
  </si>
  <si>
    <t xml:space="preserve">Customer Loans &amp; Financing</t>
  </si>
  <si>
    <t xml:space="preserve">Customer Servicing Portal</t>
  </si>
  <si>
    <t xml:space="preserve">Data Migration, UAT &amp; Training</t>
  </si>
  <si>
    <t xml:space="preserve">Infrastructure, Environments &amp; Cutover</t>
  </si>
  <si>
    <t xml:space="preserve">Project Management &amp; Governance</t>
  </si>
  <si>
    <t xml:space="preserve">Hypercare (90 days post go-live)</t>
  </si>
  <si>
    <t xml:space="preserve">n/a (not split by role)</t>
  </si>
  <si>
    <t xml:space="preserve">Capacity vs itemized build</t>
  </si>
  <si>
    <t xml:space="preserve">Development capacity in §5.1 (Dev Lead + Developer)</t>
  </si>
  <si>
    <t xml:space="preserve">Itemized §3.3 customization dev man-days</t>
  </si>
  <si>
    <t xml:space="preserve">Shortfall (itemized minus capacity)</t>
  </si>
  <si>
    <t xml:space="preserve">Shortfall as % of itemized</t>
  </si>
  <si>
    <t xml:space="preserve">§3.1 lists further features that have no §3.3 line (land banking, supplier module, TORC budget, project P&amp;L), so the real gap is larger than shown.</t>
  </si>
  <si>
    <t xml:space="preserve">Commercial and contract observations on the SOW</t>
  </si>
  <si>
    <t xml:space="preserve">For discussion with the vendor and PHI Legal before signature. Not legal advice.</t>
  </si>
  <si>
    <t xml:space="preserve">Observation</t>
  </si>
  <si>
    <t xml:space="preserve">Finding</t>
  </si>
  <si>
    <t xml:space="preserve">Impact on PHI</t>
  </si>
  <si>
    <t xml:space="preserve">Suggested ask</t>
  </si>
  <si>
    <t xml:space="preserve">O1</t>
  </si>
  <si>
    <t xml:space="preserve">Build effort vs itemized scope</t>
  </si>
  <si>
    <t xml:space="preserve">§3.3 vs §5.1</t>
  </si>
  <si>
    <t xml:space="preserve">The 100 itemized customizations total 573.12 dev-days. The two development columns in §5.1 (Dev Lead + Developer) total only 386 person-days, and §3.1 adds features not in §3.3 (land banking, supplier module, TORC budget, project P&amp;L).</t>
  </si>
  <si>
    <t xml:space="preserve">Scope looks under-resourced by roughly a third; risk of rushed build or later change orders.</t>
  </si>
  <si>
    <t xml:space="preserve">Ask the vendor to reconcile, and confirm in writing that every §3.1 and §3.3 item is inside the Fixed Base Fee.</t>
  </si>
  <si>
    <t xml:space="preserve">O2</t>
  </si>
  <si>
    <t xml:space="preserve">§5.1 columns look swapped</t>
  </si>
  <si>
    <t xml:space="preserve">§5.1</t>
  </si>
  <si>
    <t xml:space="preserve">As printed, Dev Lead carries 285 days and Developer 101 — the reverse of what a normal team shape would be.</t>
  </si>
  <si>
    <t xml:space="preserve">Unclear team composition.</t>
  </si>
  <si>
    <t xml:space="preserve">Ask for the corrected table and named roles.</t>
  </si>
  <si>
    <t xml:space="preserve">O3</t>
  </si>
  <si>
    <t xml:space="preserve">Arithmetic error: Customer Loans row</t>
  </si>
  <si>
    <t xml:space="preserve">7 + 12 + 37 + 10 + 7 = 73, but the row total says 72. The grand total of 739 uses 72.</t>
  </si>
  <si>
    <t xml:space="preserve">Minor, but signals the table wasn't checked.</t>
  </si>
  <si>
    <t xml:space="preserve">Ask for a corrected table.</t>
  </si>
  <si>
    <t xml:space="preserve">O4</t>
  </si>
  <si>
    <t xml:space="preserve">Payment gateway: in scope and out of scope</t>
  </si>
  <si>
    <t xml:space="preserve">§3.3 #76 vs §9</t>
  </si>
  <si>
    <t xml:space="preserve">Item #76 (8.64 dev-days) builds online payment via gateway, while §9 lists payment gateway integration as out of scope.</t>
  </si>
  <si>
    <t xml:space="preserve">PHI may pay for #76 and again for a CR.</t>
  </si>
  <si>
    <t xml:space="preserve">Resolve: either remove #76's gateway part from the fee or remove it from §9.</t>
  </si>
  <si>
    <t xml:space="preserve">O5</t>
  </si>
  <si>
    <t xml:space="preserve">Two man-day rates</t>
  </si>
  <si>
    <t xml:space="preserve">Cover page vs §10.2</t>
  </si>
  <si>
    <t xml:space="preserve">Base effort priced at PHP 10,000/day (739 × 10,000 = 7.39M); flex, overages and replenishments at PHP 12,000/day.</t>
  </si>
  <si>
    <t xml:space="preserve">Gaps found in this analysis would be priced at the higher rate.</t>
  </si>
  <si>
    <t xml:space="preserve">Negotiate the gap items into base scope before signing, or lock CRs at 10,000.</t>
  </si>
  <si>
    <t xml:space="preserve">O6</t>
  </si>
  <si>
    <t xml:space="preserve">Front-loaded billing</t>
  </si>
  <si>
    <t xml:space="preserve">§11</t>
  </si>
  <si>
    <t xml:space="preserve">50% (PHP 3.695M) is billed by BRD sign-off, before any build; 80% before go-live.</t>
  </si>
  <si>
    <t xml:space="preserve">Reduced leverage if build quality slips.</t>
  </si>
  <si>
    <t xml:space="preserve">Consider moving part of milestone 1 to SIT completion.</t>
  </si>
  <si>
    <t xml:space="preserve">O7</t>
  </si>
  <si>
    <t xml:space="preserve">Deemed acceptance</t>
  </si>
  <si>
    <t xml:space="preserve">§11, §12</t>
  </si>
  <si>
    <t xml:space="preserve">Deliverables are accepted after 5 working days without written objection, and joining a later phase accepts the earlier one.</t>
  </si>
  <si>
    <t xml:space="preserve">Short review window across 10 workstreams.</t>
  </si>
  <si>
    <t xml:space="preserve">Extend to 10 working days, or name reviewers per deliverable in the RACI.</t>
  </si>
  <si>
    <t xml:space="preserve">O8</t>
  </si>
  <si>
    <t xml:space="preserve">Flex allocation is small</t>
  </si>
  <si>
    <t xml:space="preserve">§10.3</t>
  </si>
  <si>
    <t xml:space="preserve">35 person-days total; only 10 for change orders (PHP 120,000 at 12,000).</t>
  </si>
  <si>
    <t xml:space="preserve">The High-priority gaps here will exceed it quickly.</t>
  </si>
  <si>
    <t xml:space="preserve">Size the gaps now and add them to base scope.</t>
  </si>
  <si>
    <t xml:space="preserve">O9</t>
  </si>
  <si>
    <t xml:space="preserve">Lot model ownership</t>
  </si>
  <si>
    <t xml:space="preserve">§8</t>
  </si>
  <si>
    <t xml:space="preserve">Assumes 'the existing custom Lot model' is stable and documented — suggests a vendor-owned pre-built module (lam.lot).</t>
  </si>
  <si>
    <t xml:space="preserve">IP, source access, licensing and upgrade path to future Odoo versions unclear.</t>
  </si>
  <si>
    <t xml:space="preserve">Get source-code ownership / licence terms and upgrade commitments in the MSA.</t>
  </si>
  <si>
    <t xml:space="preserve">O10</t>
  </si>
  <si>
    <t xml:space="preserve">Unfilled placeholders</t>
  </si>
  <si>
    <t xml:space="preserve">Cover, §1, §10.1, §10.5</t>
  </si>
  <si>
    <t xml:space="preserve">MSA date, SOW effective date, fixed fee amount in §10.1 and per diem are still '[Insert …]', while §11 states 7.39M / 7.09M.</t>
  </si>
  <si>
    <t xml:space="preserve">Ambiguity on the binding amount.</t>
  </si>
  <si>
    <t xml:space="preserve">Fill all placeholders before signing.</t>
  </si>
  <si>
    <t xml:space="preserve">O11</t>
  </si>
  <si>
    <t xml:space="preserve">Travel to Cebu</t>
  </si>
  <si>
    <t xml:space="preserve">§8, §10.5</t>
  </si>
  <si>
    <t xml:space="preserve">3 onsite meetings are included, but travel outside Metro Manila is billed at cost + 10%. PHI is in Cebu.</t>
  </si>
  <si>
    <t xml:space="preserve">Every onsite visit may be billable.</t>
  </si>
  <si>
    <t xml:space="preserve">Confirm the 3 onsite meetings include travel to Cebu.</t>
  </si>
  <si>
    <t xml:space="preserve">O12</t>
  </si>
  <si>
    <t xml:space="preserve">Training depth</t>
  </si>
  <si>
    <t xml:space="preserve">Four remote train-the-trainer sessions of up to 3 hours each, for 10 workstreams.</t>
  </si>
  <si>
    <t xml:space="preserve">Thin for go-live readiness.</t>
  </si>
  <si>
    <t xml:space="preserve">Ask for per-workstream sessions or price extra now.</t>
  </si>
  <si>
    <t xml:space="preserve">O13</t>
  </si>
  <si>
    <t xml:space="preserve">Contracting entity</t>
  </si>
  <si>
    <t xml:space="preserve">Cover, signature block</t>
  </si>
  <si>
    <t xml:space="preserve">Client is Primary Group of Builders Inc.; the system is for Primary Homes Incorporated; multi-company setup is a deliverable.</t>
  </si>
  <si>
    <t xml:space="preserve">Licence, data ownership and billing entity must be clear.</t>
  </si>
  <si>
    <t xml:space="preserve">Confirm which entities are in scope of the multi-company structure.</t>
  </si>
  <si>
    <t xml:space="preserve">O14</t>
  </si>
  <si>
    <t xml:space="preserve">No defect-response SLAs</t>
  </si>
  <si>
    <t xml:space="preserve">§6, §12</t>
  </si>
  <si>
    <t xml:space="preserve">Severity-based triage is mentioned, but no response/resolution times, including for the 90-day hypercare.</t>
  </si>
  <si>
    <t xml:space="preserve">Hypercare quality not measurable.</t>
  </si>
  <si>
    <t xml:space="preserve">Add Sev 1–4 response and resolution targets.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</si>
</sst>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;\-0%;\-"/>
    <numFmt numFmtId="166" formatCode="0.00"/>
    <numFmt numFmtId="167" formatCode="General"/>
    <numFmt numFmtId="168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D4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0F1D4A"/>
      <name val="Arial"/>
      <family val="0"/>
      <charset val="1"/>
    </font>
    <font>
      <i val="true"/>
      <sz val="9"/>
      <color rgb="FF44507A"/>
      <name val="Arial"/>
      <family val="0"/>
      <charset val="1"/>
    </font>
    <font>
      <b val="true"/>
      <sz val="12"/>
      <color rgb="FF0F1D4A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A8"/>
        <bgColor rgb="FFFCE8B2"/>
      </patternFill>
    </fill>
    <fill>
      <patternFill patternType="solid">
        <fgColor rgb="FF0F1D4A"/>
        <bgColor rgb="FF333333"/>
      </patternFill>
    </fill>
    <fill>
      <patternFill patternType="solid">
        <fgColor rgb="FFD9EAD3"/>
        <bgColor rgb="FFE7E6E6"/>
      </patternFill>
    </fill>
    <fill>
      <patternFill patternType="solid">
        <fgColor rgb="FFFCE8B2"/>
        <bgColor rgb="FFFFF2A8"/>
      </patternFill>
    </fill>
    <fill>
      <patternFill patternType="solid">
        <fgColor rgb="FFF4CCCC"/>
        <bgColor rgb="FFE7E6E6"/>
      </patternFill>
    </fill>
    <fill>
      <patternFill patternType="solid">
        <fgColor rgb="FFE7E6E6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0E4"/>
      </left>
      <right style="thin">
        <color rgb="FFC7D0E4"/>
      </right>
      <top style="thin">
        <color rgb="FFC7D0E4"/>
      </top>
      <bottom style="thin">
        <color rgb="FFC7D0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F1D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A8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8B2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8B2"/>
      <rgbColor rgb="FFE7E6E6"/>
      <rgbColor rgb="FF660066"/>
      <rgbColor rgb="FFFF8080"/>
      <rgbColor rgb="FF0066CC"/>
      <rgbColor rgb="FFC7D0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2A8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D4A"/>
      <rgbColor rgb="FF339966"/>
      <rgbColor rgb="FF003300"/>
      <rgbColor rgb="FF333300"/>
      <rgbColor rgb="FF993300"/>
      <rgbColor rgb="FF993366"/>
      <rgbColor rgb="FF4450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PIS" displayName="COPIS" ref="A4:H26" headerRowCount="1" totalsRowCount="0" totalsRowShown="0">
  <autoFilter ref="A4:H26"/>
  <tableColumns count="8">
    <tableColumn id="1" name="Proc ID"/>
    <tableColumn id="2" name="Process"/>
    <tableColumn id="3" name="Customers"/>
    <tableColumn id="4" name="Outputs"/>
    <tableColumn id="5" name="Process steps"/>
    <tableColumn id="6" name="Inputs"/>
    <tableColumn id="7" name="Suppliers"/>
    <tableColumn id="8" name="Customer requirement (validate with customer)"/>
  </tableColumns>
</table>
</file>

<file path=xl/tables/table2.xml><?xml version="1.0" encoding="utf-8"?>
<table xmlns="http://schemas.openxmlformats.org/spreadsheetml/2006/main" id="2" name="DataMatrix" displayName="DataMatrix" ref="A1:L35" headerRowCount="1" totalsRowCount="0" totalsRowShown="0">
  <autoFilter ref="A1:L35"/>
  <tableColumns count="12">
    <tableColumn id="1" name="Ref"/>
    <tableColumn id="2" name="Proc ID"/>
    <tableColumn id="3" name="Process"/>
    <tableColumn id="4" name="Step"/>
    <tableColumn id="5" name="a. Trigger event"/>
    <tableColumn id="6" name="b. Inputs &amp; data fields"/>
    <tableColumn id="7" name="c. System hand-off"/>
    <tableColumn id="8" name="d. Exceptions / edge cases"/>
    <tableColumn id="9" name="Fit"/>
    <tableColumn id="10" name="Owner"/>
    <tableColumn id="11" name="Validated"/>
    <tableColumn id="12" name="Owner comments"/>
  </tableColumns>
</table>
</file>

<file path=xl/tables/table3.xml><?xml version="1.0" encoding="utf-8"?>
<table xmlns="http://schemas.openxmlformats.org/spreadsheetml/2006/main" id="3" name="GapAnalysis" displayName="GapAnalysis" ref="A11:N32" headerRowCount="1" totalsRowCount="0" totalsRowShown="0">
  <autoFilter ref="A11:N32"/>
  <tableColumns count="14">
    <tableColumn id="1" name="Proc ID"/>
    <tableColumn id="2" name="Process"/>
    <tableColumn id="3" name="Blueprint requirement"/>
    <tableColumn id="4" name="Coverage rating"/>
    <tableColumn id="5" name="SOW coverage (section / item)"/>
    <tableColumn id="6" name="Gaps and missing scope"/>
    <tableColumn id="7" name="Priority"/>
    <tableColumn id="8" name="Recommended action"/>
    <tableColumn id="9" name="Matrix steps affected"/>
    <tableColumn id="10" name="SOW items mapped"/>
    <tableColumn id="11" name="Dev-days touching process*"/>
    <tableColumn id="12" name="PHI owner response"/>
    <tableColumn id="13" name="Vendor response"/>
    <tableColumn id="14" name="Status"/>
  </tableColumns>
</table>
</file>

<file path=xl/tables/table4.xml><?xml version="1.0" encoding="utf-8"?>
<table xmlns="http://schemas.openxmlformats.org/spreadsheetml/2006/main" id="4" name="LotTouchpoints" displayName="LotTouchpoints" ref="A1:D8" headerRowCount="1" totalsRowCount="0" totalsRowShown="0">
  <autoFilter ref="A1:D8"/>
  <tableColumns count="4">
    <tableColumn id="1" name="Process"/>
    <tableColumn id="2" name="What it does to the Lot (vendor-proposed master model)"/>
    <tableColumn id="3" name="Fields needed on Lot"/>
    <tableColumn id="4" name="Vendor response"/>
  </tableColumns>
</table>
</file>

<file path=xl/tables/table5.xml><?xml version="1.0" encoding="utf-8"?>
<table xmlns="http://schemas.openxmlformats.org/spreadsheetml/2006/main" id="5" name="MasterData" displayName="MasterData" ref="A1:E15" headerRowCount="1" totalsRowCount="0" totalsRowShown="0">
  <autoFilter ref="A1:E15"/>
  <tableColumns count="5">
    <tableColumn id="1" name="Object"/>
    <tableColumn id="2" name="Owning process"/>
    <tableColumn id="3" name="Key fields"/>
    <tableColumn id="4" name="Indicative Odoo home"/>
    <tableColumn id="5" name="Used by processes"/>
  </tableColumns>
</table>
</file>

<file path=xl/tables/table6.xml><?xml version="1.0" encoding="utf-8"?>
<table xmlns="http://schemas.openxmlformats.org/spreadsheetml/2006/main" id="6" name="OpenItems" displayName="OpenItems" ref="A1:F11" headerRowCount="1" totalsRowCount="0" totalsRowShown="0">
  <autoFilter ref="A1:F11"/>
  <tableColumns count="6">
    <tableColumn id="1" name="#"/>
    <tableColumn id="2" name="Item"/>
    <tableColumn id="3" name="Owner"/>
    <tableColumn id="4" name="Decision"/>
    <tableColumn id="5" name="Target date"/>
    <tableColumn id="6" name="Status"/>
  </tableColumns>
</table>
</file>

<file path=xl/tables/table7.xml><?xml version="1.0" encoding="utf-8"?>
<table xmlns="http://schemas.openxmlformats.org/spreadsheetml/2006/main" id="7" name="ProcessCatalogue" displayName="ProcessCatalogue" ref="A1:J22" headerRowCount="1" totalsRowCount="0" totalsRowShown="0">
  <autoFilter ref="A1:J22"/>
  <tableColumns count="10">
    <tableColumn id="1" name="Proc ID"/>
    <tableColumn id="2" name="Process"/>
    <tableColumn id="3" name="Value-chain stage"/>
    <tableColumn id="4" name="Domain"/>
    <tableColumn id="5" name="Accountable owner"/>
    <tableColumn id="6" name="Indicative Odoo 19 home"/>
    <tableColumn id="7" name="Fit"/>
    <tableColumn id="8" name="Numbered in reference flow?"/>
    <tableColumn id="9" name="Owner confirmed (Y/N)"/>
    <tableColumn id="10" name="Comments"/>
  </tableColumns>
</table>
</file>

<file path=xl/tables/table8.xml><?xml version="1.0" encoding="utf-8"?>
<table xmlns="http://schemas.openxmlformats.org/spreadsheetml/2006/main" id="8" name="SIPOC" displayName="SIPOC" ref="A1:I22" headerRowCount="1" totalsRowCount="0" totalsRowShown="0">
  <autoFilter ref="A1:I22"/>
  <tableColumns count="9">
    <tableColumn id="1" name="Proc ID"/>
    <tableColumn id="2" name="Process"/>
    <tableColumn id="3" name="Suppliers"/>
    <tableColumn id="4" name="Inputs"/>
    <tableColumn id="5" name="Process steps"/>
    <tableColumn id="6" name="Outputs"/>
    <tableColumn id="7" name="Customers"/>
    <tableColumn id="8" name="Owner"/>
    <tableColumn id="9" name="Owner comments"/>
  </tableColumns>
</table>
</file>

<file path=xl/tables/table9.xml><?xml version="1.0" encoding="utf-8"?>
<table xmlns="http://schemas.openxmlformats.org/spreadsheetml/2006/main" id="9" name="SOWObservations" displayName="SOWObservations" ref="A4:H18" headerRowCount="1" totalsRowCount="0" totalsRowShown="0">
  <autoFilter ref="A4:H18"/>
  <tableColumns count="8">
    <tableColumn id="1" name="#"/>
    <tableColumn id="2" name="Observation"/>
    <tableColumn id="3" name="SOW reference"/>
    <tableColumn id="4" name="Finding"/>
    <tableColumn id="5" name="Impact on PHI"/>
    <tableColumn id="6" name="Suggested ask"/>
    <tableColumn id="7" name="Owner"/>
    <tableColumn id="8" name="Status"/>
  </tableColumns>
</table>
</file>

<file path=xl/tables/table10.xml><?xml version="1.0" encoding="utf-8"?>
<table xmlns="http://schemas.openxmlformats.org/spreadsheetml/2006/main" id="10" name="SOWScopeMap" displayName="SOWScopeMap" ref="A4:F104" headerRowCount="1" totalsRowCount="0" totalsRowShown="0">
  <autoFilter ref="A4:F104"/>
  <tableColumns count="6">
    <tableColumn id="1" name="#"/>
    <tableColumn id="2" name="Section"/>
    <tableColumn id="3" name="Feature"/>
    <tableColumn id="4" name="Dev man-days"/>
    <tableColumn id="5" name="Blueprint process(es)"/>
    <tableColumn id="6" name="Process name(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2" t="s">
        <v>0</v>
      </c>
    </row>
    <row r="3" customFormat="false" ht="23.25" hidden="false" customHeight="true" outlineLevel="0" collapsed="false">
      <c r="A3" s="3" t="s">
        <v>1</v>
      </c>
      <c r="B3" s="4" t="s">
        <v>2</v>
      </c>
    </row>
    <row r="4" customFormat="false" ht="23.2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23.25" hidden="false" customHeight="true" outlineLevel="0" collapsed="false">
      <c r="A7" s="5" t="s">
        <v>9</v>
      </c>
      <c r="B7" s="4" t="s">
        <v>10</v>
      </c>
    </row>
    <row r="8" customFormat="false" ht="23.25" hidden="false" customHeight="true" outlineLevel="0" collapsed="false">
      <c r="A8" s="3" t="s">
        <v>11</v>
      </c>
      <c r="B8" s="4" t="s">
        <v>12</v>
      </c>
    </row>
    <row r="9" customFormat="false" ht="15" hidden="false" customHeight="true" outlineLevel="0" collapsed="false">
      <c r="A9" s="3" t="s">
        <v>13</v>
      </c>
      <c r="B9" s="4" t="s">
        <v>14</v>
      </c>
    </row>
    <row r="10" customFormat="false" ht="23.25" hidden="false" customHeight="true" outlineLevel="0" collapsed="false">
      <c r="A10" s="3" t="s">
        <v>15</v>
      </c>
      <c r="B10" s="4" t="s">
        <v>16</v>
      </c>
    </row>
    <row r="11" customFormat="false" ht="23.25" hidden="false" customHeight="true" outlineLevel="0" collapsed="false">
      <c r="A11" s="3" t="s">
        <v>17</v>
      </c>
      <c r="B11" s="4" t="s">
        <v>18</v>
      </c>
    </row>
    <row r="12" customFormat="false" ht="15" hidden="false" customHeight="false" outlineLevel="0" collapsed="false">
      <c r="A12" s="6" t="s">
        <v>19</v>
      </c>
      <c r="B12" s="7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2"/>
    <col collapsed="false" customWidth="true" hidden="false" outlineLevel="0" max="6" min="6" style="1" width="10"/>
  </cols>
  <sheetData>
    <row r="1" customFormat="false" ht="15" hidden="false" customHeight="true" outlineLevel="0" collapsed="false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</row>
    <row r="2" customFormat="false" ht="15" hidden="false" customHeight="true" outlineLevel="0" collapsed="false">
      <c r="A2" s="9" t="s">
        <v>27</v>
      </c>
      <c r="B2" s="9" t="n">
        <f aca="false">SUMPRODUCT(('Process Catalogue'!$D$2:$D$22=$A2)*COUNTIFS('Data Matrix'!$B$2:$B$35,'Process Catalogue'!$A$2:$A$22,'Data Matrix'!$I$2:$I$35,"Standard"))</f>
        <v>1</v>
      </c>
      <c r="C2" s="9" t="n">
        <f aca="false">SUMPRODUCT(('Process Catalogue'!$D$2:$D$22=$A2)*COUNTIFS('Data Matrix'!$B$2:$B$35,'Process Catalogue'!$A$2:$A$22,'Data Matrix'!$I$2:$I$35,"Configure"))</f>
        <v>4</v>
      </c>
      <c r="D2" s="9" t="n">
        <f aca="false">SUMPRODUCT(('Process Catalogue'!$D$2:$D$22=$A2)*COUNTIFS('Data Matrix'!$B$2:$B$35,'Process Catalogue'!$A$2:$A$22,'Data Matrix'!$I$2:$I$35,"Extend"))</f>
        <v>0</v>
      </c>
      <c r="E2" s="9" t="n">
        <f aca="false">SUM(B2:D2)</f>
        <v>5</v>
      </c>
      <c r="F2" s="10" t="n">
        <f aca="false">IF(E2=0,0,D2/E2)</f>
        <v>0</v>
      </c>
    </row>
    <row r="3" customFormat="false" ht="15" hidden="false" customHeight="true" outlineLevel="0" collapsed="false">
      <c r="A3" s="9" t="s">
        <v>28</v>
      </c>
      <c r="B3" s="9" t="n">
        <f aca="false">SUMPRODUCT(('Process Catalogue'!$D$2:$D$22=$A3)*COUNTIFS('Data Matrix'!$B$2:$B$35,'Process Catalogue'!$A$2:$A$22,'Data Matrix'!$I$2:$I$35,"Standard"))</f>
        <v>0</v>
      </c>
      <c r="C3" s="9" t="n">
        <f aca="false">SUMPRODUCT(('Process Catalogue'!$D$2:$D$22=$A3)*COUNTIFS('Data Matrix'!$B$2:$B$35,'Process Catalogue'!$A$2:$A$22,'Data Matrix'!$I$2:$I$35,"Configure"))</f>
        <v>0</v>
      </c>
      <c r="D3" s="9" t="n">
        <f aca="false">SUMPRODUCT(('Process Catalogue'!$D$2:$D$22=$A3)*COUNTIFS('Data Matrix'!$B$2:$B$35,'Process Catalogue'!$A$2:$A$22,'Data Matrix'!$I$2:$I$35,"Extend"))</f>
        <v>3</v>
      </c>
      <c r="E3" s="9" t="n">
        <f aca="false">SUM(B3:D3)</f>
        <v>3</v>
      </c>
      <c r="F3" s="10" t="n">
        <f aca="false">IF(E3=0,0,D3/E3)</f>
        <v>1</v>
      </c>
    </row>
    <row r="4" customFormat="false" ht="15" hidden="false" customHeight="true" outlineLevel="0" collapsed="false">
      <c r="A4" s="9" t="s">
        <v>29</v>
      </c>
      <c r="B4" s="9" t="n">
        <f aca="false">SUMPRODUCT(('Process Catalogue'!$D$2:$D$22=$A4)*COUNTIFS('Data Matrix'!$B$2:$B$35,'Process Catalogue'!$A$2:$A$22,'Data Matrix'!$I$2:$I$35,"Standard"))</f>
        <v>0</v>
      </c>
      <c r="C4" s="9" t="n">
        <f aca="false">SUMPRODUCT(('Process Catalogue'!$D$2:$D$22=$A4)*COUNTIFS('Data Matrix'!$B$2:$B$35,'Process Catalogue'!$A$2:$A$22,'Data Matrix'!$I$2:$I$35,"Configure"))</f>
        <v>1</v>
      </c>
      <c r="D4" s="9" t="n">
        <f aca="false">SUMPRODUCT(('Process Catalogue'!$D$2:$D$22=$A4)*COUNTIFS('Data Matrix'!$B$2:$B$35,'Process Catalogue'!$A$2:$A$22,'Data Matrix'!$I$2:$I$35,"Extend"))</f>
        <v>3</v>
      </c>
      <c r="E4" s="9" t="n">
        <f aca="false">SUM(B4:D4)</f>
        <v>4</v>
      </c>
      <c r="F4" s="10" t="n">
        <f aca="false">IF(E4=0,0,D4/E4)</f>
        <v>0.75</v>
      </c>
    </row>
    <row r="5" customFormat="false" ht="15" hidden="false" customHeight="true" outlineLevel="0" collapsed="false">
      <c r="A5" s="9" t="s">
        <v>30</v>
      </c>
      <c r="B5" s="9" t="n">
        <f aca="false">SUMPRODUCT(('Process Catalogue'!$D$2:$D$22=$A5)*COUNTIFS('Data Matrix'!$B$2:$B$35,'Process Catalogue'!$A$2:$A$22,'Data Matrix'!$I$2:$I$35,"Standard"))</f>
        <v>0</v>
      </c>
      <c r="C5" s="9" t="n">
        <f aca="false">SUMPRODUCT(('Process Catalogue'!$D$2:$D$22=$A5)*COUNTIFS('Data Matrix'!$B$2:$B$35,'Process Catalogue'!$A$2:$A$22,'Data Matrix'!$I$2:$I$35,"Configure"))</f>
        <v>2</v>
      </c>
      <c r="D5" s="9" t="n">
        <f aca="false">SUMPRODUCT(('Process Catalogue'!$D$2:$D$22=$A5)*COUNTIFS('Data Matrix'!$B$2:$B$35,'Process Catalogue'!$A$2:$A$22,'Data Matrix'!$I$2:$I$35,"Extend"))</f>
        <v>4</v>
      </c>
      <c r="E5" s="9" t="n">
        <f aca="false">SUM(B5:D5)</f>
        <v>6</v>
      </c>
      <c r="F5" s="10" t="n">
        <f aca="false">IF(E5=0,0,D5/E5)</f>
        <v>0.666666666666667</v>
      </c>
    </row>
    <row r="6" customFormat="false" ht="15" hidden="false" customHeight="true" outlineLevel="0" collapsed="false">
      <c r="A6" s="9" t="s">
        <v>31</v>
      </c>
      <c r="B6" s="9" t="n">
        <f aca="false">SUMPRODUCT(('Process Catalogue'!$D$2:$D$22=$A6)*COUNTIFS('Data Matrix'!$B$2:$B$35,'Process Catalogue'!$A$2:$A$22,'Data Matrix'!$I$2:$I$35,"Standard"))</f>
        <v>0</v>
      </c>
      <c r="C6" s="9" t="n">
        <f aca="false">SUMPRODUCT(('Process Catalogue'!$D$2:$D$22=$A6)*COUNTIFS('Data Matrix'!$B$2:$B$35,'Process Catalogue'!$A$2:$A$22,'Data Matrix'!$I$2:$I$35,"Configure"))</f>
        <v>1</v>
      </c>
      <c r="D6" s="9" t="n">
        <f aca="false">SUMPRODUCT(('Process Catalogue'!$D$2:$D$22=$A6)*COUNTIFS('Data Matrix'!$B$2:$B$35,'Process Catalogue'!$A$2:$A$22,'Data Matrix'!$I$2:$I$35,"Extend"))</f>
        <v>5</v>
      </c>
      <c r="E6" s="9" t="n">
        <f aca="false">SUM(B6:D6)</f>
        <v>6</v>
      </c>
      <c r="F6" s="10" t="n">
        <f aca="false">IF(E6=0,0,D6/E6)</f>
        <v>0.833333333333333</v>
      </c>
    </row>
    <row r="7" customFormat="false" ht="15" hidden="false" customHeight="true" outlineLevel="0" collapsed="false">
      <c r="A7" s="9" t="s">
        <v>32</v>
      </c>
      <c r="B7" s="9" t="n">
        <f aca="false">SUMPRODUCT(('Process Catalogue'!$D$2:$D$22=$A7)*COUNTIFS('Data Matrix'!$B$2:$B$35,'Process Catalogue'!$A$2:$A$22,'Data Matrix'!$I$2:$I$35,"Standard"))</f>
        <v>0</v>
      </c>
      <c r="C7" s="9" t="n">
        <f aca="false">SUMPRODUCT(('Process Catalogue'!$D$2:$D$22=$A7)*COUNTIFS('Data Matrix'!$B$2:$B$35,'Process Catalogue'!$A$2:$A$22,'Data Matrix'!$I$2:$I$35,"Configure"))</f>
        <v>5</v>
      </c>
      <c r="D7" s="9" t="n">
        <f aca="false">SUMPRODUCT(('Process Catalogue'!$D$2:$D$22=$A7)*COUNTIFS('Data Matrix'!$B$2:$B$35,'Process Catalogue'!$A$2:$A$22,'Data Matrix'!$I$2:$I$35,"Extend"))</f>
        <v>1</v>
      </c>
      <c r="E7" s="9" t="n">
        <f aca="false">SUM(B7:D7)</f>
        <v>6</v>
      </c>
      <c r="F7" s="10" t="n">
        <f aca="false">IF(E7=0,0,D7/E7)</f>
        <v>0.166666666666667</v>
      </c>
    </row>
    <row r="8" customFormat="false" ht="15" hidden="false" customHeight="true" outlineLevel="0" collapsed="false">
      <c r="A8" s="9" t="s">
        <v>33</v>
      </c>
      <c r="B8" s="9" t="n">
        <f aca="false">SUMPRODUCT(('Process Catalogue'!$D$2:$D$22=$A8)*COUNTIFS('Data Matrix'!$B$2:$B$35,'Process Catalogue'!$A$2:$A$22,'Data Matrix'!$I$2:$I$35,"Standard"))</f>
        <v>2</v>
      </c>
      <c r="C8" s="9" t="n">
        <f aca="false">SUMPRODUCT(('Process Catalogue'!$D$2:$D$22=$A8)*COUNTIFS('Data Matrix'!$B$2:$B$35,'Process Catalogue'!$A$2:$A$22,'Data Matrix'!$I$2:$I$35,"Configure"))</f>
        <v>0</v>
      </c>
      <c r="D8" s="9" t="n">
        <f aca="false">SUMPRODUCT(('Process Catalogue'!$D$2:$D$22=$A8)*COUNTIFS('Data Matrix'!$B$2:$B$35,'Process Catalogue'!$A$2:$A$22,'Data Matrix'!$I$2:$I$35,"Extend"))</f>
        <v>0</v>
      </c>
      <c r="E8" s="9" t="n">
        <f aca="false">SUM(B8:D8)</f>
        <v>2</v>
      </c>
      <c r="F8" s="10" t="n">
        <f aca="false">IF(E8=0,0,D8/E8)</f>
        <v>0</v>
      </c>
    </row>
    <row r="9" customFormat="false" ht="15" hidden="false" customHeight="true" outlineLevel="0" collapsed="false">
      <c r="A9" s="9" t="s">
        <v>34</v>
      </c>
      <c r="B9" s="9" t="n">
        <f aca="false">SUMPRODUCT(('Process Catalogue'!$D$2:$D$22=$A9)*COUNTIFS('Data Matrix'!$B$2:$B$35,'Process Catalogue'!$A$2:$A$22,'Data Matrix'!$I$2:$I$35,"Standard"))</f>
        <v>0</v>
      </c>
      <c r="C9" s="9" t="n">
        <f aca="false">SUMPRODUCT(('Process Catalogue'!$D$2:$D$22=$A9)*COUNTIFS('Data Matrix'!$B$2:$B$35,'Process Catalogue'!$A$2:$A$22,'Data Matrix'!$I$2:$I$35,"Configure"))</f>
        <v>2</v>
      </c>
      <c r="D9" s="9" t="n">
        <f aca="false">SUMPRODUCT(('Process Catalogue'!$D$2:$D$22=$A9)*COUNTIFS('Data Matrix'!$B$2:$B$35,'Process Catalogue'!$A$2:$A$22,'Data Matrix'!$I$2:$I$35,"Extend"))</f>
        <v>0</v>
      </c>
      <c r="E9" s="9" t="n">
        <f aca="false">SUM(B9:D9)</f>
        <v>2</v>
      </c>
      <c r="F9" s="10" t="n">
        <f aca="false">IF(E9=0,0,D9/E9)</f>
        <v>0</v>
      </c>
    </row>
    <row r="10" customFormat="false" ht="15" hidden="false" customHeight="true" outlineLevel="0" collapsed="false">
      <c r="A10" s="11" t="s">
        <v>35</v>
      </c>
      <c r="B10" s="11" t="n">
        <f aca="false">SUM(B2:B9)</f>
        <v>3</v>
      </c>
      <c r="C10" s="11" t="n">
        <f aca="false">SUM(C2:C9)</f>
        <v>15</v>
      </c>
      <c r="D10" s="11" t="n">
        <f aca="false">SUM(D2:D9)</f>
        <v>16</v>
      </c>
      <c r="E10" s="11" t="n">
        <f aca="false">SUM(E2:E9)</f>
        <v>34</v>
      </c>
      <c r="F10" s="12" t="n">
        <f aca="false">IF(E10=0,0,D10/E10)</f>
        <v>0.470588235294118</v>
      </c>
    </row>
    <row r="12" customFormat="false" ht="15" hidden="false" customHeight="true" outlineLevel="0" collapsed="false">
      <c r="A12" s="1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5" min="5" style="1" width="30"/>
    <col collapsed="false" customWidth="true" hidden="false" outlineLevel="0" max="6" min="6" style="1" width="55"/>
    <col collapsed="false" customWidth="true" hidden="false" outlineLevel="0" max="7" min="7" style="1" width="11"/>
    <col collapsed="false" customWidth="true" hidden="false" outlineLevel="0" max="9" min="8" style="1" width="14"/>
    <col collapsed="false" customWidth="true" hidden="false" outlineLevel="0" max="10" min="10" style="1" width="40"/>
  </cols>
  <sheetData>
    <row r="1" customFormat="false" ht="34.5" hidden="false" customHeight="true" outlineLevel="0" collapsed="false">
      <c r="A1" s="14" t="s">
        <v>37</v>
      </c>
      <c r="B1" s="14" t="s">
        <v>38</v>
      </c>
      <c r="C1" s="14" t="s">
        <v>39</v>
      </c>
      <c r="D1" s="14" t="s">
        <v>21</v>
      </c>
      <c r="E1" s="14" t="s">
        <v>40</v>
      </c>
      <c r="F1" s="14" t="s">
        <v>41</v>
      </c>
      <c r="G1" s="14" t="s">
        <v>42</v>
      </c>
      <c r="H1" s="14" t="s">
        <v>43</v>
      </c>
      <c r="I1" s="14" t="s">
        <v>44</v>
      </c>
      <c r="J1" s="14" t="s">
        <v>45</v>
      </c>
    </row>
    <row r="2" customFormat="false" ht="15" hidden="false" customHeight="true" outlineLevel="0" collapsed="false">
      <c r="A2" s="15" t="s">
        <v>46</v>
      </c>
      <c r="B2" s="15" t="s">
        <v>47</v>
      </c>
      <c r="C2" s="15" t="s">
        <v>27</v>
      </c>
      <c r="D2" s="15" t="s">
        <v>27</v>
      </c>
      <c r="E2" s="15" t="s">
        <v>48</v>
      </c>
      <c r="F2" s="15" t="s">
        <v>49</v>
      </c>
      <c r="G2" s="15" t="s">
        <v>23</v>
      </c>
      <c r="H2" s="15" t="s">
        <v>50</v>
      </c>
      <c r="I2" s="16"/>
      <c r="J2" s="16"/>
    </row>
    <row r="3" customFormat="false" ht="15" hidden="false" customHeight="true" outlineLevel="0" collapsed="false">
      <c r="A3" s="15" t="s">
        <v>51</v>
      </c>
      <c r="B3" s="15" t="s">
        <v>52</v>
      </c>
      <c r="C3" s="15" t="s">
        <v>27</v>
      </c>
      <c r="D3" s="15" t="s">
        <v>27</v>
      </c>
      <c r="E3" s="15" t="s">
        <v>53</v>
      </c>
      <c r="F3" s="15" t="s">
        <v>54</v>
      </c>
      <c r="G3" s="15" t="s">
        <v>23</v>
      </c>
      <c r="H3" s="15" t="s">
        <v>50</v>
      </c>
      <c r="I3" s="16"/>
      <c r="J3" s="16"/>
    </row>
    <row r="4" customFormat="false" ht="23.25" hidden="false" customHeight="true" outlineLevel="0" collapsed="false">
      <c r="A4" s="15" t="s">
        <v>55</v>
      </c>
      <c r="B4" s="15" t="s">
        <v>56</v>
      </c>
      <c r="C4" s="15" t="s">
        <v>27</v>
      </c>
      <c r="D4" s="15" t="s">
        <v>27</v>
      </c>
      <c r="E4" s="15" t="s">
        <v>57</v>
      </c>
      <c r="F4" s="15" t="s">
        <v>58</v>
      </c>
      <c r="G4" s="15" t="s">
        <v>22</v>
      </c>
      <c r="H4" s="15" t="s">
        <v>50</v>
      </c>
      <c r="I4" s="16"/>
      <c r="J4" s="16"/>
    </row>
    <row r="5" customFormat="false" ht="23.25" hidden="false" customHeight="true" outlineLevel="0" collapsed="false">
      <c r="A5" s="15" t="s">
        <v>59</v>
      </c>
      <c r="B5" s="15" t="s">
        <v>60</v>
      </c>
      <c r="C5" s="15" t="s">
        <v>61</v>
      </c>
      <c r="D5" s="15" t="s">
        <v>28</v>
      </c>
      <c r="E5" s="15" t="s">
        <v>62</v>
      </c>
      <c r="F5" s="15" t="s">
        <v>63</v>
      </c>
      <c r="G5" s="15" t="s">
        <v>24</v>
      </c>
      <c r="H5" s="15" t="s">
        <v>64</v>
      </c>
      <c r="I5" s="16"/>
      <c r="J5" s="16"/>
    </row>
    <row r="6" customFormat="false" ht="23.25" hidden="false" customHeight="true" outlineLevel="0" collapsed="false">
      <c r="A6" s="15" t="s">
        <v>65</v>
      </c>
      <c r="B6" s="15" t="s">
        <v>66</v>
      </c>
      <c r="C6" s="15" t="s">
        <v>67</v>
      </c>
      <c r="D6" s="15" t="s">
        <v>29</v>
      </c>
      <c r="E6" s="15" t="s">
        <v>68</v>
      </c>
      <c r="F6" s="15" t="s">
        <v>69</v>
      </c>
      <c r="G6" s="15" t="s">
        <v>23</v>
      </c>
      <c r="H6" s="15" t="s">
        <v>50</v>
      </c>
      <c r="I6" s="16"/>
      <c r="J6" s="16"/>
    </row>
    <row r="7" customFormat="false" ht="23.25" hidden="false" customHeight="true" outlineLevel="0" collapsed="false">
      <c r="A7" s="15" t="s">
        <v>70</v>
      </c>
      <c r="B7" s="15" t="s">
        <v>71</v>
      </c>
      <c r="C7" s="15" t="s">
        <v>67</v>
      </c>
      <c r="D7" s="15" t="s">
        <v>29</v>
      </c>
      <c r="E7" s="15" t="s">
        <v>72</v>
      </c>
      <c r="F7" s="15" t="s">
        <v>73</v>
      </c>
      <c r="G7" s="15" t="s">
        <v>24</v>
      </c>
      <c r="H7" s="15" t="s">
        <v>50</v>
      </c>
      <c r="I7" s="16"/>
      <c r="J7" s="16"/>
    </row>
    <row r="8" customFormat="false" ht="23.25" hidden="false" customHeight="true" outlineLevel="0" collapsed="false">
      <c r="A8" s="15" t="s">
        <v>74</v>
      </c>
      <c r="B8" s="15" t="s">
        <v>75</v>
      </c>
      <c r="C8" s="15" t="s">
        <v>67</v>
      </c>
      <c r="D8" s="15" t="s">
        <v>29</v>
      </c>
      <c r="E8" s="15" t="s">
        <v>76</v>
      </c>
      <c r="F8" s="15" t="s">
        <v>77</v>
      </c>
      <c r="G8" s="15" t="s">
        <v>24</v>
      </c>
      <c r="H8" s="15" t="s">
        <v>50</v>
      </c>
      <c r="I8" s="16"/>
      <c r="J8" s="16"/>
    </row>
    <row r="9" customFormat="false" ht="15" hidden="false" customHeight="true" outlineLevel="0" collapsed="false">
      <c r="A9" s="15" t="s">
        <v>78</v>
      </c>
      <c r="B9" s="15" t="s">
        <v>79</v>
      </c>
      <c r="C9" s="15" t="s">
        <v>80</v>
      </c>
      <c r="D9" s="15" t="s">
        <v>30</v>
      </c>
      <c r="E9" s="15" t="s">
        <v>81</v>
      </c>
      <c r="F9" s="15" t="s">
        <v>82</v>
      </c>
      <c r="G9" s="15" t="s">
        <v>23</v>
      </c>
      <c r="H9" s="15" t="s">
        <v>50</v>
      </c>
      <c r="I9" s="16"/>
      <c r="J9" s="16"/>
    </row>
    <row r="10" customFormat="false" ht="23.25" hidden="false" customHeight="true" outlineLevel="0" collapsed="false">
      <c r="A10" s="15" t="s">
        <v>83</v>
      </c>
      <c r="B10" s="15" t="s">
        <v>84</v>
      </c>
      <c r="C10" s="15" t="s">
        <v>80</v>
      </c>
      <c r="D10" s="15" t="s">
        <v>30</v>
      </c>
      <c r="E10" s="15" t="s">
        <v>85</v>
      </c>
      <c r="F10" s="15" t="s">
        <v>86</v>
      </c>
      <c r="G10" s="15" t="s">
        <v>24</v>
      </c>
      <c r="H10" s="15" t="s">
        <v>50</v>
      </c>
      <c r="I10" s="16"/>
      <c r="J10" s="16"/>
    </row>
    <row r="11" customFormat="false" ht="15" hidden="false" customHeight="true" outlineLevel="0" collapsed="false">
      <c r="A11" s="15" t="s">
        <v>87</v>
      </c>
      <c r="B11" s="15" t="s">
        <v>88</v>
      </c>
      <c r="C11" s="15" t="s">
        <v>80</v>
      </c>
      <c r="D11" s="15" t="s">
        <v>30</v>
      </c>
      <c r="E11" s="15" t="s">
        <v>89</v>
      </c>
      <c r="F11" s="15" t="s">
        <v>90</v>
      </c>
      <c r="G11" s="15" t="s">
        <v>23</v>
      </c>
      <c r="H11" s="15" t="s">
        <v>50</v>
      </c>
      <c r="I11" s="16"/>
      <c r="J11" s="16"/>
    </row>
    <row r="12" customFormat="false" ht="23.25" hidden="false" customHeight="true" outlineLevel="0" collapsed="false">
      <c r="A12" s="15" t="s">
        <v>91</v>
      </c>
      <c r="B12" s="15" t="s">
        <v>92</v>
      </c>
      <c r="C12" s="15" t="s">
        <v>93</v>
      </c>
      <c r="D12" s="15" t="s">
        <v>31</v>
      </c>
      <c r="E12" s="15" t="s">
        <v>94</v>
      </c>
      <c r="F12" s="15" t="s">
        <v>95</v>
      </c>
      <c r="G12" s="15" t="s">
        <v>24</v>
      </c>
      <c r="H12" s="15" t="s">
        <v>50</v>
      </c>
      <c r="I12" s="16"/>
      <c r="J12" s="16"/>
    </row>
    <row r="13" customFormat="false" ht="23.25" hidden="false" customHeight="true" outlineLevel="0" collapsed="false">
      <c r="A13" s="15" t="s">
        <v>96</v>
      </c>
      <c r="B13" s="15" t="s">
        <v>97</v>
      </c>
      <c r="C13" s="15" t="s">
        <v>93</v>
      </c>
      <c r="D13" s="15" t="s">
        <v>31</v>
      </c>
      <c r="E13" s="15" t="s">
        <v>98</v>
      </c>
      <c r="F13" s="15" t="s">
        <v>99</v>
      </c>
      <c r="G13" s="15" t="s">
        <v>24</v>
      </c>
      <c r="H13" s="15" t="s">
        <v>50</v>
      </c>
      <c r="I13" s="16"/>
      <c r="J13" s="16"/>
    </row>
    <row r="14" customFormat="false" ht="23.25" hidden="false" customHeight="true" outlineLevel="0" collapsed="false">
      <c r="A14" s="15" t="s">
        <v>100</v>
      </c>
      <c r="B14" s="15" t="s">
        <v>101</v>
      </c>
      <c r="C14" s="15" t="s">
        <v>93</v>
      </c>
      <c r="D14" s="15" t="s">
        <v>31</v>
      </c>
      <c r="E14" s="15" t="s">
        <v>102</v>
      </c>
      <c r="F14" s="15" t="s">
        <v>103</v>
      </c>
      <c r="G14" s="15" t="s">
        <v>24</v>
      </c>
      <c r="H14" s="15" t="s">
        <v>50</v>
      </c>
      <c r="I14" s="16"/>
      <c r="J14" s="16"/>
    </row>
    <row r="15" customFormat="false" ht="23.25" hidden="false" customHeight="true" outlineLevel="0" collapsed="false">
      <c r="A15" s="15" t="s">
        <v>104</v>
      </c>
      <c r="B15" s="15" t="s">
        <v>105</v>
      </c>
      <c r="C15" s="15" t="s">
        <v>106</v>
      </c>
      <c r="D15" s="15" t="s">
        <v>32</v>
      </c>
      <c r="E15" s="15" t="s">
        <v>107</v>
      </c>
      <c r="F15" s="15" t="s">
        <v>108</v>
      </c>
      <c r="G15" s="15" t="s">
        <v>23</v>
      </c>
      <c r="H15" s="15" t="s">
        <v>64</v>
      </c>
      <c r="I15" s="16"/>
      <c r="J15" s="16"/>
    </row>
    <row r="16" customFormat="false" ht="23.25" hidden="false" customHeight="true" outlineLevel="0" collapsed="false">
      <c r="A16" s="15" t="s">
        <v>109</v>
      </c>
      <c r="B16" s="15" t="s">
        <v>110</v>
      </c>
      <c r="C16" s="15" t="s">
        <v>106</v>
      </c>
      <c r="D16" s="15" t="s">
        <v>32</v>
      </c>
      <c r="E16" s="15" t="s">
        <v>111</v>
      </c>
      <c r="F16" s="15" t="s">
        <v>112</v>
      </c>
      <c r="G16" s="15" t="s">
        <v>23</v>
      </c>
      <c r="H16" s="15" t="s">
        <v>64</v>
      </c>
      <c r="I16" s="16"/>
      <c r="J16" s="16"/>
    </row>
    <row r="17" customFormat="false" ht="23.25" hidden="false" customHeight="true" outlineLevel="0" collapsed="false">
      <c r="A17" s="15" t="s">
        <v>113</v>
      </c>
      <c r="B17" s="15" t="s">
        <v>114</v>
      </c>
      <c r="C17" s="15" t="s">
        <v>115</v>
      </c>
      <c r="D17" s="15" t="s">
        <v>33</v>
      </c>
      <c r="E17" s="15" t="s">
        <v>116</v>
      </c>
      <c r="F17" s="15" t="s">
        <v>117</v>
      </c>
      <c r="G17" s="15" t="s">
        <v>22</v>
      </c>
      <c r="H17" s="15" t="s">
        <v>64</v>
      </c>
      <c r="I17" s="16"/>
      <c r="J17" s="16"/>
    </row>
    <row r="18" customFormat="false" ht="15" hidden="false" customHeight="true" outlineLevel="0" collapsed="false">
      <c r="A18" s="15" t="s">
        <v>118</v>
      </c>
      <c r="B18" s="15" t="s">
        <v>119</v>
      </c>
      <c r="C18" s="15" t="s">
        <v>80</v>
      </c>
      <c r="D18" s="15" t="s">
        <v>30</v>
      </c>
      <c r="E18" s="15" t="s">
        <v>81</v>
      </c>
      <c r="F18" s="15" t="s">
        <v>120</v>
      </c>
      <c r="G18" s="15" t="s">
        <v>24</v>
      </c>
      <c r="H18" s="15" t="s">
        <v>50</v>
      </c>
      <c r="I18" s="16"/>
      <c r="J18" s="16"/>
    </row>
    <row r="19" customFormat="false" ht="23.25" hidden="false" customHeight="true" outlineLevel="0" collapsed="false">
      <c r="A19" s="15" t="s">
        <v>121</v>
      </c>
      <c r="B19" s="15" t="s">
        <v>122</v>
      </c>
      <c r="C19" s="15" t="s">
        <v>106</v>
      </c>
      <c r="D19" s="15" t="s">
        <v>32</v>
      </c>
      <c r="E19" s="15" t="s">
        <v>122</v>
      </c>
      <c r="F19" s="15" t="s">
        <v>123</v>
      </c>
      <c r="G19" s="15" t="s">
        <v>23</v>
      </c>
      <c r="H19" s="15" t="s">
        <v>64</v>
      </c>
      <c r="I19" s="16"/>
      <c r="J19" s="16"/>
    </row>
    <row r="20" customFormat="false" ht="23.25" hidden="false" customHeight="true" outlineLevel="0" collapsed="false">
      <c r="A20" s="15" t="s">
        <v>124</v>
      </c>
      <c r="B20" s="15" t="s">
        <v>125</v>
      </c>
      <c r="C20" s="15" t="s">
        <v>106</v>
      </c>
      <c r="D20" s="15" t="s">
        <v>32</v>
      </c>
      <c r="E20" s="15" t="s">
        <v>107</v>
      </c>
      <c r="F20" s="15" t="s">
        <v>126</v>
      </c>
      <c r="G20" s="15" t="s">
        <v>24</v>
      </c>
      <c r="H20" s="15" t="s">
        <v>64</v>
      </c>
      <c r="I20" s="16"/>
      <c r="J20" s="16"/>
    </row>
    <row r="21" customFormat="false" ht="15" hidden="false" customHeight="true" outlineLevel="0" collapsed="false">
      <c r="A21" s="15" t="s">
        <v>127</v>
      </c>
      <c r="B21" s="15" t="s">
        <v>128</v>
      </c>
      <c r="C21" s="15" t="s">
        <v>115</v>
      </c>
      <c r="D21" s="15" t="s">
        <v>34</v>
      </c>
      <c r="E21" s="15" t="s">
        <v>129</v>
      </c>
      <c r="F21" s="15" t="s">
        <v>130</v>
      </c>
      <c r="G21" s="15" t="s">
        <v>23</v>
      </c>
      <c r="H21" s="15" t="s">
        <v>50</v>
      </c>
      <c r="I21" s="16"/>
      <c r="J21" s="16"/>
    </row>
    <row r="22" customFormat="false" ht="15" hidden="false" customHeight="true" outlineLevel="0" collapsed="false">
      <c r="A22" s="15" t="s">
        <v>131</v>
      </c>
      <c r="B22" s="15" t="s">
        <v>132</v>
      </c>
      <c r="C22" s="15" t="s">
        <v>115</v>
      </c>
      <c r="D22" s="15" t="s">
        <v>34</v>
      </c>
      <c r="E22" s="15" t="s">
        <v>129</v>
      </c>
      <c r="F22" s="15" t="s">
        <v>133</v>
      </c>
      <c r="G22" s="15" t="s">
        <v>23</v>
      </c>
      <c r="H22" s="15" t="s">
        <v>50</v>
      </c>
      <c r="I22" s="16"/>
      <c r="J22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32"/>
    <col collapsed="false" customWidth="true" hidden="false" outlineLevel="0" max="4" min="4" style="1" width="36"/>
    <col collapsed="false" customWidth="true" hidden="false" outlineLevel="0" max="5" min="5" style="1" width="44"/>
    <col collapsed="false" customWidth="true" hidden="false" outlineLevel="0" max="6" min="6" style="1" width="34"/>
    <col collapsed="false" customWidth="true" hidden="false" outlineLevel="0" max="7" min="7" style="1" width="30"/>
    <col collapsed="false" customWidth="true" hidden="false" outlineLevel="0" max="8" min="8" style="1" width="24"/>
    <col collapsed="false" customWidth="true" hidden="false" outlineLevel="0" max="9" min="9" style="1" width="36"/>
  </cols>
  <sheetData>
    <row r="1" customFormat="false" ht="15" hidden="false" customHeight="true" outlineLevel="0" collapsed="false">
      <c r="A1" s="14" t="s">
        <v>37</v>
      </c>
      <c r="B1" s="14" t="s">
        <v>38</v>
      </c>
      <c r="C1" s="14" t="s">
        <v>134</v>
      </c>
      <c r="D1" s="14" t="s">
        <v>135</v>
      </c>
      <c r="E1" s="14" t="s">
        <v>136</v>
      </c>
      <c r="F1" s="14" t="s">
        <v>137</v>
      </c>
      <c r="G1" s="14" t="s">
        <v>138</v>
      </c>
      <c r="H1" s="14" t="s">
        <v>139</v>
      </c>
      <c r="I1" s="14" t="s">
        <v>140</v>
      </c>
    </row>
    <row r="2" customFormat="false" ht="90.75" hidden="false" customHeight="true" outlineLevel="0" collapsed="false">
      <c r="A2" s="15" t="s">
        <v>46</v>
      </c>
      <c r="B2" s="15" t="s">
        <v>47</v>
      </c>
      <c r="C2" s="15" t="s">
        <v>141</v>
      </c>
      <c r="D2" s="15" t="s">
        <v>142</v>
      </c>
      <c r="E2" s="15" t="s">
        <v>143</v>
      </c>
      <c r="F2" s="15" t="s">
        <v>144</v>
      </c>
      <c r="G2" s="15" t="s">
        <v>145</v>
      </c>
      <c r="H2" s="15" t="s">
        <v>48</v>
      </c>
      <c r="I2" s="16"/>
    </row>
    <row r="3" customFormat="false" ht="57" hidden="false" customHeight="true" outlineLevel="0" collapsed="false">
      <c r="A3" s="15" t="s">
        <v>51</v>
      </c>
      <c r="B3" s="15" t="s">
        <v>52</v>
      </c>
      <c r="C3" s="15" t="s">
        <v>146</v>
      </c>
      <c r="D3" s="15" t="s">
        <v>147</v>
      </c>
      <c r="E3" s="15" t="s">
        <v>148</v>
      </c>
      <c r="F3" s="15" t="s">
        <v>149</v>
      </c>
      <c r="G3" s="15" t="s">
        <v>150</v>
      </c>
      <c r="H3" s="15" t="s">
        <v>53</v>
      </c>
      <c r="I3" s="16"/>
    </row>
    <row r="4" customFormat="false" ht="68.25" hidden="false" customHeight="true" outlineLevel="0" collapsed="false">
      <c r="A4" s="15" t="s">
        <v>55</v>
      </c>
      <c r="B4" s="15" t="s">
        <v>56</v>
      </c>
      <c r="C4" s="15" t="s">
        <v>151</v>
      </c>
      <c r="D4" s="15" t="s">
        <v>152</v>
      </c>
      <c r="E4" s="15" t="s">
        <v>153</v>
      </c>
      <c r="F4" s="15" t="s">
        <v>154</v>
      </c>
      <c r="G4" s="15" t="s">
        <v>155</v>
      </c>
      <c r="H4" s="15" t="s">
        <v>57</v>
      </c>
      <c r="I4" s="16"/>
    </row>
    <row r="5" customFormat="false" ht="79.5" hidden="false" customHeight="true" outlineLevel="0" collapsed="false">
      <c r="A5" s="15" t="s">
        <v>59</v>
      </c>
      <c r="B5" s="15" t="s">
        <v>60</v>
      </c>
      <c r="C5" s="15" t="s">
        <v>156</v>
      </c>
      <c r="D5" s="15" t="s">
        <v>157</v>
      </c>
      <c r="E5" s="15" t="s">
        <v>158</v>
      </c>
      <c r="F5" s="15" t="s">
        <v>159</v>
      </c>
      <c r="G5" s="15" t="s">
        <v>160</v>
      </c>
      <c r="H5" s="15" t="s">
        <v>62</v>
      </c>
      <c r="I5" s="16"/>
    </row>
    <row r="6" customFormat="false" ht="57" hidden="false" customHeight="true" outlineLevel="0" collapsed="false">
      <c r="A6" s="15" t="s">
        <v>65</v>
      </c>
      <c r="B6" s="15" t="s">
        <v>66</v>
      </c>
      <c r="C6" s="15" t="s">
        <v>161</v>
      </c>
      <c r="D6" s="15" t="s">
        <v>162</v>
      </c>
      <c r="E6" s="15" t="s">
        <v>163</v>
      </c>
      <c r="F6" s="15" t="s">
        <v>164</v>
      </c>
      <c r="G6" s="15" t="s">
        <v>165</v>
      </c>
      <c r="H6" s="15" t="s">
        <v>68</v>
      </c>
      <c r="I6" s="16"/>
    </row>
    <row r="7" customFormat="false" ht="68.25" hidden="false" customHeight="true" outlineLevel="0" collapsed="false">
      <c r="A7" s="15" t="s">
        <v>70</v>
      </c>
      <c r="B7" s="15" t="s">
        <v>71</v>
      </c>
      <c r="C7" s="15" t="s">
        <v>166</v>
      </c>
      <c r="D7" s="15" t="s">
        <v>167</v>
      </c>
      <c r="E7" s="15" t="s">
        <v>168</v>
      </c>
      <c r="F7" s="15" t="s">
        <v>169</v>
      </c>
      <c r="G7" s="15" t="s">
        <v>170</v>
      </c>
      <c r="H7" s="15" t="s">
        <v>72</v>
      </c>
      <c r="I7" s="16"/>
    </row>
    <row r="8" customFormat="false" ht="102" hidden="false" customHeight="true" outlineLevel="0" collapsed="false">
      <c r="A8" s="15" t="s">
        <v>74</v>
      </c>
      <c r="B8" s="15" t="s">
        <v>75</v>
      </c>
      <c r="C8" s="15" t="s">
        <v>171</v>
      </c>
      <c r="D8" s="15" t="s">
        <v>172</v>
      </c>
      <c r="E8" s="15" t="s">
        <v>173</v>
      </c>
      <c r="F8" s="15" t="s">
        <v>174</v>
      </c>
      <c r="G8" s="15" t="s">
        <v>175</v>
      </c>
      <c r="H8" s="15" t="s">
        <v>76</v>
      </c>
      <c r="I8" s="16"/>
    </row>
    <row r="9" customFormat="false" ht="68.25" hidden="false" customHeight="true" outlineLevel="0" collapsed="false">
      <c r="A9" s="15" t="s">
        <v>78</v>
      </c>
      <c r="B9" s="15" t="s">
        <v>79</v>
      </c>
      <c r="C9" s="15" t="s">
        <v>176</v>
      </c>
      <c r="D9" s="15" t="s">
        <v>177</v>
      </c>
      <c r="E9" s="15" t="s">
        <v>178</v>
      </c>
      <c r="F9" s="15" t="s">
        <v>179</v>
      </c>
      <c r="G9" s="15" t="s">
        <v>180</v>
      </c>
      <c r="H9" s="15" t="s">
        <v>81</v>
      </c>
      <c r="I9" s="16"/>
    </row>
    <row r="10" customFormat="false" ht="57" hidden="false" customHeight="true" outlineLevel="0" collapsed="false">
      <c r="A10" s="15" t="s">
        <v>83</v>
      </c>
      <c r="B10" s="15" t="s">
        <v>84</v>
      </c>
      <c r="C10" s="15" t="s">
        <v>181</v>
      </c>
      <c r="D10" s="15" t="s">
        <v>182</v>
      </c>
      <c r="E10" s="15" t="s">
        <v>183</v>
      </c>
      <c r="F10" s="15" t="s">
        <v>184</v>
      </c>
      <c r="G10" s="15" t="s">
        <v>185</v>
      </c>
      <c r="H10" s="15" t="s">
        <v>85</v>
      </c>
      <c r="I10" s="16"/>
    </row>
    <row r="11" customFormat="false" ht="57" hidden="false" customHeight="true" outlineLevel="0" collapsed="false">
      <c r="A11" s="15" t="s">
        <v>87</v>
      </c>
      <c r="B11" s="15" t="s">
        <v>88</v>
      </c>
      <c r="C11" s="15" t="s">
        <v>186</v>
      </c>
      <c r="D11" s="15" t="s">
        <v>187</v>
      </c>
      <c r="E11" s="15" t="s">
        <v>188</v>
      </c>
      <c r="F11" s="15" t="s">
        <v>189</v>
      </c>
      <c r="G11" s="15" t="s">
        <v>190</v>
      </c>
      <c r="H11" s="15" t="s">
        <v>89</v>
      </c>
      <c r="I11" s="16"/>
    </row>
    <row r="12" customFormat="false" ht="68.25" hidden="false" customHeight="true" outlineLevel="0" collapsed="false">
      <c r="A12" s="15" t="s">
        <v>91</v>
      </c>
      <c r="B12" s="15" t="s">
        <v>92</v>
      </c>
      <c r="C12" s="15" t="s">
        <v>191</v>
      </c>
      <c r="D12" s="15" t="s">
        <v>192</v>
      </c>
      <c r="E12" s="15" t="s">
        <v>193</v>
      </c>
      <c r="F12" s="15" t="s">
        <v>194</v>
      </c>
      <c r="G12" s="15" t="s">
        <v>195</v>
      </c>
      <c r="H12" s="15" t="s">
        <v>94</v>
      </c>
      <c r="I12" s="16"/>
    </row>
    <row r="13" customFormat="false" ht="68.25" hidden="false" customHeight="true" outlineLevel="0" collapsed="false">
      <c r="A13" s="15" t="s">
        <v>96</v>
      </c>
      <c r="B13" s="15" t="s">
        <v>97</v>
      </c>
      <c r="C13" s="15" t="s">
        <v>196</v>
      </c>
      <c r="D13" s="15" t="s">
        <v>197</v>
      </c>
      <c r="E13" s="15" t="s">
        <v>198</v>
      </c>
      <c r="F13" s="15" t="s">
        <v>199</v>
      </c>
      <c r="G13" s="15" t="s">
        <v>200</v>
      </c>
      <c r="H13" s="15" t="s">
        <v>98</v>
      </c>
      <c r="I13" s="16"/>
    </row>
    <row r="14" customFormat="false" ht="45.75" hidden="false" customHeight="true" outlineLevel="0" collapsed="false">
      <c r="A14" s="15" t="s">
        <v>100</v>
      </c>
      <c r="B14" s="15" t="s">
        <v>101</v>
      </c>
      <c r="C14" s="15" t="s">
        <v>201</v>
      </c>
      <c r="D14" s="15" t="s">
        <v>202</v>
      </c>
      <c r="E14" s="15" t="s">
        <v>203</v>
      </c>
      <c r="F14" s="15" t="s">
        <v>204</v>
      </c>
      <c r="G14" s="15" t="s">
        <v>205</v>
      </c>
      <c r="H14" s="15" t="s">
        <v>102</v>
      </c>
      <c r="I14" s="16"/>
    </row>
    <row r="15" customFormat="false" ht="68.25" hidden="false" customHeight="true" outlineLevel="0" collapsed="false">
      <c r="A15" s="15" t="s">
        <v>104</v>
      </c>
      <c r="B15" s="15" t="s">
        <v>105</v>
      </c>
      <c r="C15" s="15" t="s">
        <v>206</v>
      </c>
      <c r="D15" s="15" t="s">
        <v>207</v>
      </c>
      <c r="E15" s="15" t="s">
        <v>208</v>
      </c>
      <c r="F15" s="15" t="s">
        <v>209</v>
      </c>
      <c r="G15" s="15" t="s">
        <v>210</v>
      </c>
      <c r="H15" s="15" t="s">
        <v>107</v>
      </c>
      <c r="I15" s="16"/>
    </row>
    <row r="16" customFormat="false" ht="57" hidden="false" customHeight="true" outlineLevel="0" collapsed="false">
      <c r="A16" s="15" t="s">
        <v>109</v>
      </c>
      <c r="B16" s="15" t="s">
        <v>110</v>
      </c>
      <c r="C16" s="15" t="s">
        <v>211</v>
      </c>
      <c r="D16" s="15" t="s">
        <v>212</v>
      </c>
      <c r="E16" s="15" t="s">
        <v>213</v>
      </c>
      <c r="F16" s="15" t="s">
        <v>214</v>
      </c>
      <c r="G16" s="15" t="s">
        <v>215</v>
      </c>
      <c r="H16" s="15" t="s">
        <v>111</v>
      </c>
      <c r="I16" s="16"/>
    </row>
    <row r="17" customFormat="false" ht="68.25" hidden="false" customHeight="true" outlineLevel="0" collapsed="false">
      <c r="A17" s="15" t="s">
        <v>113</v>
      </c>
      <c r="B17" s="15" t="s">
        <v>114</v>
      </c>
      <c r="C17" s="15" t="s">
        <v>216</v>
      </c>
      <c r="D17" s="15" t="s">
        <v>217</v>
      </c>
      <c r="E17" s="15" t="s">
        <v>218</v>
      </c>
      <c r="F17" s="15" t="s">
        <v>219</v>
      </c>
      <c r="G17" s="15" t="s">
        <v>220</v>
      </c>
      <c r="H17" s="15" t="s">
        <v>116</v>
      </c>
      <c r="I17" s="16"/>
    </row>
    <row r="18" customFormat="false" ht="68.25" hidden="false" customHeight="true" outlineLevel="0" collapsed="false">
      <c r="A18" s="15" t="s">
        <v>118</v>
      </c>
      <c r="B18" s="15" t="s">
        <v>119</v>
      </c>
      <c r="C18" s="15" t="s">
        <v>221</v>
      </c>
      <c r="D18" s="15" t="s">
        <v>222</v>
      </c>
      <c r="E18" s="15" t="s">
        <v>223</v>
      </c>
      <c r="F18" s="15" t="s">
        <v>224</v>
      </c>
      <c r="G18" s="15" t="s">
        <v>225</v>
      </c>
      <c r="H18" s="15" t="s">
        <v>81</v>
      </c>
      <c r="I18" s="16"/>
    </row>
    <row r="19" customFormat="false" ht="57" hidden="false" customHeight="true" outlineLevel="0" collapsed="false">
      <c r="A19" s="15" t="s">
        <v>121</v>
      </c>
      <c r="B19" s="15" t="s">
        <v>122</v>
      </c>
      <c r="C19" s="15" t="s">
        <v>226</v>
      </c>
      <c r="D19" s="15" t="s">
        <v>227</v>
      </c>
      <c r="E19" s="15" t="s">
        <v>228</v>
      </c>
      <c r="F19" s="15" t="s">
        <v>229</v>
      </c>
      <c r="G19" s="15" t="s">
        <v>230</v>
      </c>
      <c r="H19" s="15" t="s">
        <v>122</v>
      </c>
      <c r="I19" s="16"/>
    </row>
    <row r="20" customFormat="false" ht="57" hidden="false" customHeight="true" outlineLevel="0" collapsed="false">
      <c r="A20" s="15" t="s">
        <v>124</v>
      </c>
      <c r="B20" s="15" t="s">
        <v>125</v>
      </c>
      <c r="C20" s="15" t="s">
        <v>231</v>
      </c>
      <c r="D20" s="15" t="s">
        <v>232</v>
      </c>
      <c r="E20" s="15" t="s">
        <v>233</v>
      </c>
      <c r="F20" s="15" t="s">
        <v>234</v>
      </c>
      <c r="G20" s="15" t="s">
        <v>235</v>
      </c>
      <c r="H20" s="15" t="s">
        <v>107</v>
      </c>
      <c r="I20" s="16"/>
    </row>
    <row r="21" customFormat="false" ht="45.75" hidden="false" customHeight="true" outlineLevel="0" collapsed="false">
      <c r="A21" s="15" t="s">
        <v>127</v>
      </c>
      <c r="B21" s="15" t="s">
        <v>128</v>
      </c>
      <c r="C21" s="15" t="s">
        <v>236</v>
      </c>
      <c r="D21" s="15" t="s">
        <v>237</v>
      </c>
      <c r="E21" s="15" t="s">
        <v>238</v>
      </c>
      <c r="F21" s="15" t="s">
        <v>239</v>
      </c>
      <c r="G21" s="15" t="s">
        <v>240</v>
      </c>
      <c r="H21" s="15" t="s">
        <v>129</v>
      </c>
      <c r="I21" s="16"/>
    </row>
    <row r="22" customFormat="false" ht="45.75" hidden="false" customHeight="true" outlineLevel="0" collapsed="false">
      <c r="A22" s="15" t="s">
        <v>131</v>
      </c>
      <c r="B22" s="15" t="s">
        <v>132</v>
      </c>
      <c r="C22" s="15" t="s">
        <v>241</v>
      </c>
      <c r="D22" s="15" t="s">
        <v>242</v>
      </c>
      <c r="E22" s="15" t="s">
        <v>243</v>
      </c>
      <c r="F22" s="15" t="s">
        <v>244</v>
      </c>
      <c r="G22" s="15" t="s">
        <v>245</v>
      </c>
      <c r="H22" s="15" t="s">
        <v>129</v>
      </c>
      <c r="I22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30"/>
    <col collapsed="false" customWidth="true" hidden="false" outlineLevel="0" max="4" min="4" style="1" width="34"/>
    <col collapsed="false" customWidth="true" hidden="false" outlineLevel="0" max="5" min="5" style="1" width="44"/>
    <col collapsed="false" customWidth="true" hidden="false" outlineLevel="0" max="6" min="6" style="1" width="34"/>
    <col collapsed="false" customWidth="true" hidden="false" outlineLevel="0" max="7" min="7" style="1" width="32"/>
    <col collapsed="false" customWidth="true" hidden="false" outlineLevel="0" max="8" min="8" style="1" width="40"/>
  </cols>
  <sheetData>
    <row r="1" customFormat="false" ht="17.25" hidden="false" customHeight="true" outlineLevel="0" collapsed="false">
      <c r="A1" s="17" t="s">
        <v>246</v>
      </c>
    </row>
    <row r="2" customFormat="false" ht="15" hidden="false" customHeight="true" outlineLevel="0" collapsed="false">
      <c r="A2" s="18" t="s">
        <v>247</v>
      </c>
    </row>
    <row r="4" customFormat="false" ht="23.25" hidden="false" customHeight="true" outlineLevel="0" collapsed="false">
      <c r="A4" s="14" t="s">
        <v>37</v>
      </c>
      <c r="B4" s="14" t="s">
        <v>38</v>
      </c>
      <c r="C4" s="14" t="s">
        <v>138</v>
      </c>
      <c r="D4" s="14" t="s">
        <v>137</v>
      </c>
      <c r="E4" s="14" t="s">
        <v>136</v>
      </c>
      <c r="F4" s="14" t="s">
        <v>135</v>
      </c>
      <c r="G4" s="14" t="s">
        <v>134</v>
      </c>
      <c r="H4" s="14" t="s">
        <v>248</v>
      </c>
    </row>
    <row r="5" customFormat="false" ht="79.5" hidden="false" customHeight="true" outlineLevel="0" collapsed="false">
      <c r="A5" s="19" t="s">
        <v>249</v>
      </c>
      <c r="B5" s="19" t="s">
        <v>250</v>
      </c>
      <c r="C5" s="19" t="s">
        <v>251</v>
      </c>
      <c r="D5" s="19" t="s">
        <v>252</v>
      </c>
      <c r="E5" s="19" t="s">
        <v>253</v>
      </c>
      <c r="F5" s="19" t="s">
        <v>254</v>
      </c>
      <c r="G5" s="19" t="s">
        <v>255</v>
      </c>
      <c r="H5" s="16"/>
    </row>
    <row r="6" customFormat="false" ht="90.75" hidden="false" customHeight="true" outlineLevel="0" collapsed="false">
      <c r="A6" s="15" t="s">
        <v>46</v>
      </c>
      <c r="B6" s="15" t="s">
        <v>47</v>
      </c>
      <c r="C6" s="15" t="s">
        <v>145</v>
      </c>
      <c r="D6" s="15" t="s">
        <v>144</v>
      </c>
      <c r="E6" s="15" t="s">
        <v>143</v>
      </c>
      <c r="F6" s="15" t="s">
        <v>142</v>
      </c>
      <c r="G6" s="15" t="s">
        <v>141</v>
      </c>
      <c r="H6" s="16"/>
    </row>
    <row r="7" customFormat="false" ht="57" hidden="false" customHeight="true" outlineLevel="0" collapsed="false">
      <c r="A7" s="15" t="s">
        <v>51</v>
      </c>
      <c r="B7" s="15" t="s">
        <v>52</v>
      </c>
      <c r="C7" s="15" t="s">
        <v>150</v>
      </c>
      <c r="D7" s="15" t="s">
        <v>149</v>
      </c>
      <c r="E7" s="15" t="s">
        <v>148</v>
      </c>
      <c r="F7" s="15" t="s">
        <v>147</v>
      </c>
      <c r="G7" s="15" t="s">
        <v>146</v>
      </c>
      <c r="H7" s="16"/>
    </row>
    <row r="8" customFormat="false" ht="68.25" hidden="false" customHeight="true" outlineLevel="0" collapsed="false">
      <c r="A8" s="15" t="s">
        <v>55</v>
      </c>
      <c r="B8" s="15" t="s">
        <v>56</v>
      </c>
      <c r="C8" s="15" t="s">
        <v>155</v>
      </c>
      <c r="D8" s="15" t="s">
        <v>154</v>
      </c>
      <c r="E8" s="15" t="s">
        <v>153</v>
      </c>
      <c r="F8" s="15" t="s">
        <v>152</v>
      </c>
      <c r="G8" s="15" t="s">
        <v>151</v>
      </c>
      <c r="H8" s="16"/>
    </row>
    <row r="9" customFormat="false" ht="79.5" hidden="false" customHeight="true" outlineLevel="0" collapsed="false">
      <c r="A9" s="15" t="s">
        <v>59</v>
      </c>
      <c r="B9" s="15" t="s">
        <v>60</v>
      </c>
      <c r="C9" s="15" t="s">
        <v>160</v>
      </c>
      <c r="D9" s="15" t="s">
        <v>159</v>
      </c>
      <c r="E9" s="15" t="s">
        <v>158</v>
      </c>
      <c r="F9" s="15" t="s">
        <v>157</v>
      </c>
      <c r="G9" s="15" t="s">
        <v>156</v>
      </c>
      <c r="H9" s="16"/>
    </row>
    <row r="10" customFormat="false" ht="57" hidden="false" customHeight="true" outlineLevel="0" collapsed="false">
      <c r="A10" s="15" t="s">
        <v>65</v>
      </c>
      <c r="B10" s="15" t="s">
        <v>66</v>
      </c>
      <c r="C10" s="15" t="s">
        <v>165</v>
      </c>
      <c r="D10" s="15" t="s">
        <v>164</v>
      </c>
      <c r="E10" s="15" t="s">
        <v>163</v>
      </c>
      <c r="F10" s="15" t="s">
        <v>162</v>
      </c>
      <c r="G10" s="15" t="s">
        <v>161</v>
      </c>
      <c r="H10" s="16"/>
    </row>
    <row r="11" customFormat="false" ht="68.25" hidden="false" customHeight="true" outlineLevel="0" collapsed="false">
      <c r="A11" s="15" t="s">
        <v>70</v>
      </c>
      <c r="B11" s="15" t="s">
        <v>71</v>
      </c>
      <c r="C11" s="15" t="s">
        <v>170</v>
      </c>
      <c r="D11" s="15" t="s">
        <v>169</v>
      </c>
      <c r="E11" s="15" t="s">
        <v>168</v>
      </c>
      <c r="F11" s="15" t="s">
        <v>167</v>
      </c>
      <c r="G11" s="15" t="s">
        <v>166</v>
      </c>
      <c r="H11" s="16"/>
    </row>
    <row r="12" customFormat="false" ht="102" hidden="false" customHeight="true" outlineLevel="0" collapsed="false">
      <c r="A12" s="15" t="s">
        <v>74</v>
      </c>
      <c r="B12" s="15" t="s">
        <v>75</v>
      </c>
      <c r="C12" s="15" t="s">
        <v>175</v>
      </c>
      <c r="D12" s="15" t="s">
        <v>174</v>
      </c>
      <c r="E12" s="15" t="s">
        <v>173</v>
      </c>
      <c r="F12" s="15" t="s">
        <v>172</v>
      </c>
      <c r="G12" s="15" t="s">
        <v>171</v>
      </c>
      <c r="H12" s="16"/>
    </row>
    <row r="13" customFormat="false" ht="68.25" hidden="false" customHeight="true" outlineLevel="0" collapsed="false">
      <c r="A13" s="15" t="s">
        <v>78</v>
      </c>
      <c r="B13" s="15" t="s">
        <v>79</v>
      </c>
      <c r="C13" s="15" t="s">
        <v>180</v>
      </c>
      <c r="D13" s="15" t="s">
        <v>179</v>
      </c>
      <c r="E13" s="15" t="s">
        <v>178</v>
      </c>
      <c r="F13" s="15" t="s">
        <v>177</v>
      </c>
      <c r="G13" s="15" t="s">
        <v>176</v>
      </c>
      <c r="H13" s="16"/>
    </row>
    <row r="14" customFormat="false" ht="57" hidden="false" customHeight="true" outlineLevel="0" collapsed="false">
      <c r="A14" s="15" t="s">
        <v>83</v>
      </c>
      <c r="B14" s="15" t="s">
        <v>84</v>
      </c>
      <c r="C14" s="15" t="s">
        <v>185</v>
      </c>
      <c r="D14" s="15" t="s">
        <v>184</v>
      </c>
      <c r="E14" s="15" t="s">
        <v>183</v>
      </c>
      <c r="F14" s="15" t="s">
        <v>182</v>
      </c>
      <c r="G14" s="15" t="s">
        <v>181</v>
      </c>
      <c r="H14" s="16"/>
    </row>
    <row r="15" customFormat="false" ht="57" hidden="false" customHeight="true" outlineLevel="0" collapsed="false">
      <c r="A15" s="15" t="s">
        <v>87</v>
      </c>
      <c r="B15" s="15" t="s">
        <v>88</v>
      </c>
      <c r="C15" s="15" t="s">
        <v>190</v>
      </c>
      <c r="D15" s="15" t="s">
        <v>189</v>
      </c>
      <c r="E15" s="15" t="s">
        <v>188</v>
      </c>
      <c r="F15" s="15" t="s">
        <v>187</v>
      </c>
      <c r="G15" s="15" t="s">
        <v>186</v>
      </c>
      <c r="H15" s="16"/>
    </row>
    <row r="16" customFormat="false" ht="68.25" hidden="false" customHeight="true" outlineLevel="0" collapsed="false">
      <c r="A16" s="15" t="s">
        <v>91</v>
      </c>
      <c r="B16" s="15" t="s">
        <v>92</v>
      </c>
      <c r="C16" s="15" t="s">
        <v>195</v>
      </c>
      <c r="D16" s="15" t="s">
        <v>194</v>
      </c>
      <c r="E16" s="15" t="s">
        <v>193</v>
      </c>
      <c r="F16" s="15" t="s">
        <v>192</v>
      </c>
      <c r="G16" s="15" t="s">
        <v>191</v>
      </c>
      <c r="H16" s="16"/>
    </row>
    <row r="17" customFormat="false" ht="68.25" hidden="false" customHeight="true" outlineLevel="0" collapsed="false">
      <c r="A17" s="15" t="s">
        <v>96</v>
      </c>
      <c r="B17" s="15" t="s">
        <v>97</v>
      </c>
      <c r="C17" s="15" t="s">
        <v>200</v>
      </c>
      <c r="D17" s="15" t="s">
        <v>199</v>
      </c>
      <c r="E17" s="15" t="s">
        <v>198</v>
      </c>
      <c r="F17" s="15" t="s">
        <v>197</v>
      </c>
      <c r="G17" s="15" t="s">
        <v>196</v>
      </c>
      <c r="H17" s="16"/>
    </row>
    <row r="18" customFormat="false" ht="45.75" hidden="false" customHeight="true" outlineLevel="0" collapsed="false">
      <c r="A18" s="15" t="s">
        <v>100</v>
      </c>
      <c r="B18" s="15" t="s">
        <v>101</v>
      </c>
      <c r="C18" s="15" t="s">
        <v>205</v>
      </c>
      <c r="D18" s="15" t="s">
        <v>204</v>
      </c>
      <c r="E18" s="15" t="s">
        <v>203</v>
      </c>
      <c r="F18" s="15" t="s">
        <v>202</v>
      </c>
      <c r="G18" s="15" t="s">
        <v>201</v>
      </c>
      <c r="H18" s="16"/>
    </row>
    <row r="19" customFormat="false" ht="68.25" hidden="false" customHeight="true" outlineLevel="0" collapsed="false">
      <c r="A19" s="15" t="s">
        <v>104</v>
      </c>
      <c r="B19" s="15" t="s">
        <v>105</v>
      </c>
      <c r="C19" s="15" t="s">
        <v>210</v>
      </c>
      <c r="D19" s="15" t="s">
        <v>209</v>
      </c>
      <c r="E19" s="15" t="s">
        <v>208</v>
      </c>
      <c r="F19" s="15" t="s">
        <v>207</v>
      </c>
      <c r="G19" s="15" t="s">
        <v>206</v>
      </c>
      <c r="H19" s="16"/>
    </row>
    <row r="20" customFormat="false" ht="57" hidden="false" customHeight="true" outlineLevel="0" collapsed="false">
      <c r="A20" s="15" t="s">
        <v>109</v>
      </c>
      <c r="B20" s="15" t="s">
        <v>110</v>
      </c>
      <c r="C20" s="15" t="s">
        <v>215</v>
      </c>
      <c r="D20" s="15" t="s">
        <v>214</v>
      </c>
      <c r="E20" s="15" t="s">
        <v>213</v>
      </c>
      <c r="F20" s="15" t="s">
        <v>212</v>
      </c>
      <c r="G20" s="15" t="s">
        <v>211</v>
      </c>
      <c r="H20" s="16"/>
    </row>
    <row r="21" customFormat="false" ht="68.25" hidden="false" customHeight="true" outlineLevel="0" collapsed="false">
      <c r="A21" s="15" t="s">
        <v>113</v>
      </c>
      <c r="B21" s="15" t="s">
        <v>114</v>
      </c>
      <c r="C21" s="15" t="s">
        <v>220</v>
      </c>
      <c r="D21" s="15" t="s">
        <v>219</v>
      </c>
      <c r="E21" s="15" t="s">
        <v>218</v>
      </c>
      <c r="F21" s="15" t="s">
        <v>217</v>
      </c>
      <c r="G21" s="15" t="s">
        <v>216</v>
      </c>
      <c r="H21" s="16"/>
    </row>
    <row r="22" customFormat="false" ht="68.25" hidden="false" customHeight="true" outlineLevel="0" collapsed="false">
      <c r="A22" s="15" t="s">
        <v>118</v>
      </c>
      <c r="B22" s="15" t="s">
        <v>119</v>
      </c>
      <c r="C22" s="15" t="s">
        <v>225</v>
      </c>
      <c r="D22" s="15" t="s">
        <v>224</v>
      </c>
      <c r="E22" s="15" t="s">
        <v>223</v>
      </c>
      <c r="F22" s="15" t="s">
        <v>222</v>
      </c>
      <c r="G22" s="15" t="s">
        <v>221</v>
      </c>
      <c r="H22" s="16"/>
    </row>
    <row r="23" customFormat="false" ht="57" hidden="false" customHeight="true" outlineLevel="0" collapsed="false">
      <c r="A23" s="15" t="s">
        <v>121</v>
      </c>
      <c r="B23" s="15" t="s">
        <v>122</v>
      </c>
      <c r="C23" s="15" t="s">
        <v>230</v>
      </c>
      <c r="D23" s="15" t="s">
        <v>229</v>
      </c>
      <c r="E23" s="15" t="s">
        <v>228</v>
      </c>
      <c r="F23" s="15" t="s">
        <v>227</v>
      </c>
      <c r="G23" s="15" t="s">
        <v>226</v>
      </c>
      <c r="H23" s="16"/>
    </row>
    <row r="24" customFormat="false" ht="57" hidden="false" customHeight="true" outlineLevel="0" collapsed="false">
      <c r="A24" s="15" t="s">
        <v>124</v>
      </c>
      <c r="B24" s="15" t="s">
        <v>125</v>
      </c>
      <c r="C24" s="15" t="s">
        <v>235</v>
      </c>
      <c r="D24" s="15" t="s">
        <v>234</v>
      </c>
      <c r="E24" s="15" t="s">
        <v>233</v>
      </c>
      <c r="F24" s="15" t="s">
        <v>232</v>
      </c>
      <c r="G24" s="15" t="s">
        <v>231</v>
      </c>
      <c r="H24" s="16"/>
    </row>
    <row r="25" customFormat="false" ht="45.75" hidden="false" customHeight="true" outlineLevel="0" collapsed="false">
      <c r="A25" s="15" t="s">
        <v>127</v>
      </c>
      <c r="B25" s="15" t="s">
        <v>128</v>
      </c>
      <c r="C25" s="15" t="s">
        <v>240</v>
      </c>
      <c r="D25" s="15" t="s">
        <v>239</v>
      </c>
      <c r="E25" s="15" t="s">
        <v>238</v>
      </c>
      <c r="F25" s="15" t="s">
        <v>237</v>
      </c>
      <c r="G25" s="15" t="s">
        <v>236</v>
      </c>
      <c r="H25" s="16"/>
    </row>
    <row r="26" customFormat="false" ht="45.75" hidden="false" customHeight="true" outlineLevel="0" collapsed="false">
      <c r="A26" s="15" t="s">
        <v>131</v>
      </c>
      <c r="B26" s="15" t="s">
        <v>132</v>
      </c>
      <c r="C26" s="15" t="s">
        <v>245</v>
      </c>
      <c r="D26" s="15" t="s">
        <v>244</v>
      </c>
      <c r="E26" s="15" t="s">
        <v>243</v>
      </c>
      <c r="F26" s="15" t="s">
        <v>242</v>
      </c>
      <c r="G26" s="15" t="s">
        <v>241</v>
      </c>
      <c r="H26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8"/>
    <col collapsed="false" customWidth="true" hidden="false" outlineLevel="0" max="4" min="3" style="1" width="26"/>
    <col collapsed="false" customWidth="true" hidden="false" outlineLevel="0" max="5" min="5" style="1" width="30"/>
    <col collapsed="false" customWidth="true" hidden="false" outlineLevel="0" max="6" min="6" style="1" width="50"/>
    <col collapsed="false" customWidth="true" hidden="false" outlineLevel="0" max="8" min="7" style="1" width="46"/>
    <col collapsed="false" customWidth="true" hidden="false" outlineLevel="0" max="9" min="9" style="1" width="11"/>
    <col collapsed="false" customWidth="true" hidden="false" outlineLevel="0" max="10" min="10" style="1" width="22"/>
    <col collapsed="false" customWidth="true" hidden="false" outlineLevel="0" max="11" min="11" style="1" width="16"/>
    <col collapsed="false" customWidth="true" hidden="false" outlineLevel="0" max="12" min="12" style="1" width="40"/>
  </cols>
  <sheetData>
    <row r="1" customFormat="false" ht="15" hidden="false" customHeight="true" outlineLevel="0" collapsed="false">
      <c r="A1" s="14" t="s">
        <v>256</v>
      </c>
      <c r="B1" s="14" t="s">
        <v>37</v>
      </c>
      <c r="C1" s="14" t="s">
        <v>38</v>
      </c>
      <c r="D1" s="14" t="s">
        <v>257</v>
      </c>
      <c r="E1" s="14" t="s">
        <v>258</v>
      </c>
      <c r="F1" s="14" t="s">
        <v>259</v>
      </c>
      <c r="G1" s="14" t="s">
        <v>260</v>
      </c>
      <c r="H1" s="14" t="s">
        <v>261</v>
      </c>
      <c r="I1" s="14" t="s">
        <v>42</v>
      </c>
      <c r="J1" s="14" t="s">
        <v>139</v>
      </c>
      <c r="K1" s="14" t="s">
        <v>262</v>
      </c>
      <c r="L1" s="14" t="s">
        <v>140</v>
      </c>
    </row>
    <row r="2" customFormat="false" ht="34.5" hidden="false" customHeight="true" outlineLevel="0" collapsed="false">
      <c r="A2" s="15" t="s">
        <v>263</v>
      </c>
      <c r="B2" s="15" t="s">
        <v>46</v>
      </c>
      <c r="C2" s="15" t="s">
        <v>47</v>
      </c>
      <c r="D2" s="15" t="s">
        <v>264</v>
      </c>
      <c r="E2" s="15" t="s">
        <v>265</v>
      </c>
      <c r="F2" s="15" t="s">
        <v>266</v>
      </c>
      <c r="G2" s="15" t="s">
        <v>267</v>
      </c>
      <c r="H2" s="15" t="s">
        <v>268</v>
      </c>
      <c r="I2" s="15" t="s">
        <v>23</v>
      </c>
      <c r="J2" s="15" t="s">
        <v>48</v>
      </c>
      <c r="K2" s="16"/>
      <c r="L2" s="16"/>
    </row>
    <row r="3" customFormat="false" ht="34.5" hidden="false" customHeight="true" outlineLevel="0" collapsed="false">
      <c r="A3" s="15" t="s">
        <v>269</v>
      </c>
      <c r="B3" s="15" t="s">
        <v>46</v>
      </c>
      <c r="C3" s="15" t="s">
        <v>47</v>
      </c>
      <c r="D3" s="15" t="s">
        <v>270</v>
      </c>
      <c r="E3" s="15" t="s">
        <v>271</v>
      </c>
      <c r="F3" s="15" t="s">
        <v>272</v>
      </c>
      <c r="G3" s="15" t="s">
        <v>273</v>
      </c>
      <c r="H3" s="15" t="s">
        <v>274</v>
      </c>
      <c r="I3" s="15" t="s">
        <v>23</v>
      </c>
      <c r="J3" s="15" t="s">
        <v>48</v>
      </c>
      <c r="K3" s="16"/>
      <c r="L3" s="16"/>
    </row>
    <row r="4" customFormat="false" ht="34.5" hidden="false" customHeight="true" outlineLevel="0" collapsed="false">
      <c r="A4" s="15" t="s">
        <v>275</v>
      </c>
      <c r="B4" s="15" t="s">
        <v>46</v>
      </c>
      <c r="C4" s="15" t="s">
        <v>47</v>
      </c>
      <c r="D4" s="15" t="s">
        <v>276</v>
      </c>
      <c r="E4" s="15" t="s">
        <v>277</v>
      </c>
      <c r="F4" s="15" t="s">
        <v>278</v>
      </c>
      <c r="G4" s="15" t="s">
        <v>279</v>
      </c>
      <c r="H4" s="15" t="s">
        <v>280</v>
      </c>
      <c r="I4" s="15" t="s">
        <v>23</v>
      </c>
      <c r="J4" s="15" t="s">
        <v>48</v>
      </c>
      <c r="K4" s="16"/>
      <c r="L4" s="16"/>
    </row>
    <row r="5" customFormat="false" ht="34.5" hidden="false" customHeight="true" outlineLevel="0" collapsed="false">
      <c r="A5" s="15" t="s">
        <v>281</v>
      </c>
      <c r="B5" s="15" t="s">
        <v>51</v>
      </c>
      <c r="C5" s="15" t="s">
        <v>52</v>
      </c>
      <c r="D5" s="15" t="s">
        <v>282</v>
      </c>
      <c r="E5" s="15" t="s">
        <v>283</v>
      </c>
      <c r="F5" s="15" t="s">
        <v>284</v>
      </c>
      <c r="G5" s="15" t="s">
        <v>285</v>
      </c>
      <c r="H5" s="15" t="s">
        <v>286</v>
      </c>
      <c r="I5" s="15" t="s">
        <v>23</v>
      </c>
      <c r="J5" s="15" t="s">
        <v>53</v>
      </c>
      <c r="K5" s="16"/>
      <c r="L5" s="16"/>
    </row>
    <row r="6" customFormat="false" ht="34.5" hidden="false" customHeight="true" outlineLevel="0" collapsed="false">
      <c r="A6" s="15" t="s">
        <v>287</v>
      </c>
      <c r="B6" s="15" t="s">
        <v>55</v>
      </c>
      <c r="C6" s="15" t="s">
        <v>56</v>
      </c>
      <c r="D6" s="15" t="s">
        <v>288</v>
      </c>
      <c r="E6" s="15" t="s">
        <v>289</v>
      </c>
      <c r="F6" s="15" t="s">
        <v>290</v>
      </c>
      <c r="G6" s="15" t="s">
        <v>291</v>
      </c>
      <c r="H6" s="15" t="s">
        <v>292</v>
      </c>
      <c r="I6" s="15" t="s">
        <v>22</v>
      </c>
      <c r="J6" s="15" t="s">
        <v>57</v>
      </c>
      <c r="K6" s="16"/>
      <c r="L6" s="16"/>
    </row>
    <row r="7" customFormat="false" ht="34.5" hidden="false" customHeight="true" outlineLevel="0" collapsed="false">
      <c r="A7" s="15" t="s">
        <v>293</v>
      </c>
      <c r="B7" s="15" t="s">
        <v>59</v>
      </c>
      <c r="C7" s="15" t="s">
        <v>60</v>
      </c>
      <c r="D7" s="15" t="s">
        <v>294</v>
      </c>
      <c r="E7" s="15" t="s">
        <v>295</v>
      </c>
      <c r="F7" s="15" t="s">
        <v>296</v>
      </c>
      <c r="G7" s="15" t="s">
        <v>297</v>
      </c>
      <c r="H7" s="15" t="s">
        <v>298</v>
      </c>
      <c r="I7" s="15" t="s">
        <v>24</v>
      </c>
      <c r="J7" s="15" t="s">
        <v>62</v>
      </c>
      <c r="K7" s="16"/>
      <c r="L7" s="16"/>
    </row>
    <row r="8" customFormat="false" ht="34.5" hidden="false" customHeight="true" outlineLevel="0" collapsed="false">
      <c r="A8" s="15" t="s">
        <v>299</v>
      </c>
      <c r="B8" s="15" t="s">
        <v>59</v>
      </c>
      <c r="C8" s="15" t="s">
        <v>60</v>
      </c>
      <c r="D8" s="15" t="s">
        <v>300</v>
      </c>
      <c r="E8" s="15" t="s">
        <v>301</v>
      </c>
      <c r="F8" s="15" t="s">
        <v>302</v>
      </c>
      <c r="G8" s="15" t="s">
        <v>303</v>
      </c>
      <c r="H8" s="15" t="s">
        <v>304</v>
      </c>
      <c r="I8" s="15" t="s">
        <v>24</v>
      </c>
      <c r="J8" s="15" t="s">
        <v>62</v>
      </c>
      <c r="K8" s="16"/>
      <c r="L8" s="16"/>
    </row>
    <row r="9" customFormat="false" ht="23.25" hidden="false" customHeight="true" outlineLevel="0" collapsed="false">
      <c r="A9" s="15" t="s">
        <v>305</v>
      </c>
      <c r="B9" s="15" t="s">
        <v>59</v>
      </c>
      <c r="C9" s="15" t="s">
        <v>60</v>
      </c>
      <c r="D9" s="15" t="s">
        <v>306</v>
      </c>
      <c r="E9" s="15" t="s">
        <v>307</v>
      </c>
      <c r="F9" s="15" t="s">
        <v>308</v>
      </c>
      <c r="G9" s="15" t="s">
        <v>309</v>
      </c>
      <c r="H9" s="15" t="s">
        <v>310</v>
      </c>
      <c r="I9" s="15" t="s">
        <v>24</v>
      </c>
      <c r="J9" s="15" t="s">
        <v>62</v>
      </c>
      <c r="K9" s="16"/>
      <c r="L9" s="16"/>
    </row>
    <row r="10" customFormat="false" ht="34.5" hidden="false" customHeight="true" outlineLevel="0" collapsed="false">
      <c r="A10" s="15" t="s">
        <v>311</v>
      </c>
      <c r="B10" s="15" t="s">
        <v>65</v>
      </c>
      <c r="C10" s="15" t="s">
        <v>66</v>
      </c>
      <c r="D10" s="15" t="s">
        <v>312</v>
      </c>
      <c r="E10" s="15" t="s">
        <v>313</v>
      </c>
      <c r="F10" s="15" t="s">
        <v>314</v>
      </c>
      <c r="G10" s="15" t="s">
        <v>315</v>
      </c>
      <c r="H10" s="15" t="s">
        <v>316</v>
      </c>
      <c r="I10" s="15" t="s">
        <v>23</v>
      </c>
      <c r="J10" s="15" t="s">
        <v>68</v>
      </c>
      <c r="K10" s="16"/>
      <c r="L10" s="16"/>
    </row>
    <row r="11" customFormat="false" ht="34.5" hidden="false" customHeight="true" outlineLevel="0" collapsed="false">
      <c r="A11" s="15" t="s">
        <v>317</v>
      </c>
      <c r="B11" s="15" t="s">
        <v>70</v>
      </c>
      <c r="C11" s="15" t="s">
        <v>71</v>
      </c>
      <c r="D11" s="15" t="s">
        <v>318</v>
      </c>
      <c r="E11" s="15" t="s">
        <v>319</v>
      </c>
      <c r="F11" s="15" t="s">
        <v>320</v>
      </c>
      <c r="G11" s="15" t="s">
        <v>321</v>
      </c>
      <c r="H11" s="15" t="s">
        <v>322</v>
      </c>
      <c r="I11" s="15" t="s">
        <v>24</v>
      </c>
      <c r="J11" s="15" t="s">
        <v>72</v>
      </c>
      <c r="K11" s="16"/>
      <c r="L11" s="16"/>
    </row>
    <row r="12" customFormat="false" ht="45.75" hidden="false" customHeight="true" outlineLevel="0" collapsed="false">
      <c r="A12" s="15" t="s">
        <v>323</v>
      </c>
      <c r="B12" s="15" t="s">
        <v>74</v>
      </c>
      <c r="C12" s="15" t="s">
        <v>75</v>
      </c>
      <c r="D12" s="15" t="s">
        <v>324</v>
      </c>
      <c r="E12" s="15" t="s">
        <v>325</v>
      </c>
      <c r="F12" s="15" t="s">
        <v>326</v>
      </c>
      <c r="G12" s="15" t="s">
        <v>327</v>
      </c>
      <c r="H12" s="15" t="s">
        <v>328</v>
      </c>
      <c r="I12" s="15" t="s">
        <v>24</v>
      </c>
      <c r="J12" s="15" t="s">
        <v>76</v>
      </c>
      <c r="K12" s="16"/>
      <c r="L12" s="16"/>
    </row>
    <row r="13" customFormat="false" ht="34.5" hidden="false" customHeight="true" outlineLevel="0" collapsed="false">
      <c r="A13" s="15" t="s">
        <v>329</v>
      </c>
      <c r="B13" s="15" t="s">
        <v>74</v>
      </c>
      <c r="C13" s="15" t="s">
        <v>75</v>
      </c>
      <c r="D13" s="15" t="s">
        <v>330</v>
      </c>
      <c r="E13" s="15" t="s">
        <v>331</v>
      </c>
      <c r="F13" s="15" t="s">
        <v>332</v>
      </c>
      <c r="G13" s="15" t="s">
        <v>333</v>
      </c>
      <c r="H13" s="15" t="s">
        <v>334</v>
      </c>
      <c r="I13" s="15" t="s">
        <v>24</v>
      </c>
      <c r="J13" s="15" t="s">
        <v>76</v>
      </c>
      <c r="K13" s="16"/>
      <c r="L13" s="16"/>
    </row>
    <row r="14" customFormat="false" ht="34.5" hidden="false" customHeight="true" outlineLevel="0" collapsed="false">
      <c r="A14" s="15" t="s">
        <v>335</v>
      </c>
      <c r="B14" s="15" t="s">
        <v>78</v>
      </c>
      <c r="C14" s="15" t="s">
        <v>79</v>
      </c>
      <c r="D14" s="15" t="s">
        <v>336</v>
      </c>
      <c r="E14" s="15" t="s">
        <v>337</v>
      </c>
      <c r="F14" s="15" t="s">
        <v>338</v>
      </c>
      <c r="G14" s="15" t="s">
        <v>339</v>
      </c>
      <c r="H14" s="15" t="s">
        <v>340</v>
      </c>
      <c r="I14" s="15" t="s">
        <v>23</v>
      </c>
      <c r="J14" s="15" t="s">
        <v>81</v>
      </c>
      <c r="K14" s="16"/>
      <c r="L14" s="16"/>
    </row>
    <row r="15" customFormat="false" ht="34.5" hidden="false" customHeight="true" outlineLevel="0" collapsed="false">
      <c r="A15" s="15" t="s">
        <v>341</v>
      </c>
      <c r="B15" s="15" t="s">
        <v>83</v>
      </c>
      <c r="C15" s="15" t="s">
        <v>84</v>
      </c>
      <c r="D15" s="15" t="s">
        <v>342</v>
      </c>
      <c r="E15" s="15" t="s">
        <v>343</v>
      </c>
      <c r="F15" s="15" t="s">
        <v>344</v>
      </c>
      <c r="G15" s="15" t="s">
        <v>345</v>
      </c>
      <c r="H15" s="15" t="s">
        <v>346</v>
      </c>
      <c r="I15" s="15" t="s">
        <v>24</v>
      </c>
      <c r="J15" s="15" t="s">
        <v>85</v>
      </c>
      <c r="K15" s="16"/>
      <c r="L15" s="16"/>
    </row>
    <row r="16" customFormat="false" ht="34.5" hidden="false" customHeight="true" outlineLevel="0" collapsed="false">
      <c r="A16" s="15" t="s">
        <v>347</v>
      </c>
      <c r="B16" s="15" t="s">
        <v>83</v>
      </c>
      <c r="C16" s="15" t="s">
        <v>84</v>
      </c>
      <c r="D16" s="15" t="s">
        <v>348</v>
      </c>
      <c r="E16" s="15" t="s">
        <v>349</v>
      </c>
      <c r="F16" s="15" t="s">
        <v>350</v>
      </c>
      <c r="G16" s="15" t="s">
        <v>351</v>
      </c>
      <c r="H16" s="15" t="s">
        <v>352</v>
      </c>
      <c r="I16" s="15" t="s">
        <v>24</v>
      </c>
      <c r="J16" s="15" t="s">
        <v>85</v>
      </c>
      <c r="K16" s="16"/>
      <c r="L16" s="16"/>
    </row>
    <row r="17" customFormat="false" ht="23.25" hidden="false" customHeight="true" outlineLevel="0" collapsed="false">
      <c r="A17" s="15" t="s">
        <v>353</v>
      </c>
      <c r="B17" s="15" t="s">
        <v>83</v>
      </c>
      <c r="C17" s="15" t="s">
        <v>84</v>
      </c>
      <c r="D17" s="15" t="s">
        <v>354</v>
      </c>
      <c r="E17" s="15" t="s">
        <v>355</v>
      </c>
      <c r="F17" s="15" t="s">
        <v>356</v>
      </c>
      <c r="G17" s="15" t="s">
        <v>357</v>
      </c>
      <c r="H17" s="15" t="s">
        <v>358</v>
      </c>
      <c r="I17" s="15" t="s">
        <v>24</v>
      </c>
      <c r="J17" s="15" t="s">
        <v>85</v>
      </c>
      <c r="K17" s="16"/>
      <c r="L17" s="16"/>
    </row>
    <row r="18" customFormat="false" ht="34.5" hidden="false" customHeight="true" outlineLevel="0" collapsed="false">
      <c r="A18" s="15" t="s">
        <v>359</v>
      </c>
      <c r="B18" s="15" t="s">
        <v>87</v>
      </c>
      <c r="C18" s="15" t="s">
        <v>88</v>
      </c>
      <c r="D18" s="15" t="s">
        <v>360</v>
      </c>
      <c r="E18" s="15" t="s">
        <v>361</v>
      </c>
      <c r="F18" s="15" t="s">
        <v>362</v>
      </c>
      <c r="G18" s="15" t="s">
        <v>363</v>
      </c>
      <c r="H18" s="15" t="s">
        <v>364</v>
      </c>
      <c r="I18" s="15" t="s">
        <v>23</v>
      </c>
      <c r="J18" s="15" t="s">
        <v>89</v>
      </c>
      <c r="K18" s="16"/>
      <c r="L18" s="16"/>
    </row>
    <row r="19" customFormat="false" ht="34.5" hidden="false" customHeight="true" outlineLevel="0" collapsed="false">
      <c r="A19" s="15" t="s">
        <v>365</v>
      </c>
      <c r="B19" s="15" t="s">
        <v>91</v>
      </c>
      <c r="C19" s="15" t="s">
        <v>92</v>
      </c>
      <c r="D19" s="15" t="s">
        <v>366</v>
      </c>
      <c r="E19" s="15" t="s">
        <v>367</v>
      </c>
      <c r="F19" s="15" t="s">
        <v>368</v>
      </c>
      <c r="G19" s="15" t="s">
        <v>369</v>
      </c>
      <c r="H19" s="15" t="s">
        <v>370</v>
      </c>
      <c r="I19" s="15" t="s">
        <v>23</v>
      </c>
      <c r="J19" s="15" t="s">
        <v>94</v>
      </c>
      <c r="K19" s="16"/>
      <c r="L19" s="16"/>
    </row>
    <row r="20" customFormat="false" ht="34.5" hidden="false" customHeight="true" outlineLevel="0" collapsed="false">
      <c r="A20" s="15" t="s">
        <v>371</v>
      </c>
      <c r="B20" s="15" t="s">
        <v>91</v>
      </c>
      <c r="C20" s="15" t="s">
        <v>92</v>
      </c>
      <c r="D20" s="15" t="s">
        <v>372</v>
      </c>
      <c r="E20" s="15" t="s">
        <v>373</v>
      </c>
      <c r="F20" s="15" t="s">
        <v>374</v>
      </c>
      <c r="G20" s="15" t="s">
        <v>375</v>
      </c>
      <c r="H20" s="15" t="s">
        <v>376</v>
      </c>
      <c r="I20" s="15" t="s">
        <v>24</v>
      </c>
      <c r="J20" s="15" t="s">
        <v>94</v>
      </c>
      <c r="K20" s="16"/>
      <c r="L20" s="16"/>
    </row>
    <row r="21" customFormat="false" ht="34.5" hidden="false" customHeight="true" outlineLevel="0" collapsed="false">
      <c r="A21" s="15" t="s">
        <v>377</v>
      </c>
      <c r="B21" s="15" t="s">
        <v>91</v>
      </c>
      <c r="C21" s="15" t="s">
        <v>92</v>
      </c>
      <c r="D21" s="15" t="s">
        <v>378</v>
      </c>
      <c r="E21" s="15" t="s">
        <v>379</v>
      </c>
      <c r="F21" s="15" t="s">
        <v>380</v>
      </c>
      <c r="G21" s="15" t="s">
        <v>381</v>
      </c>
      <c r="H21" s="15" t="s">
        <v>382</v>
      </c>
      <c r="I21" s="15" t="s">
        <v>24</v>
      </c>
      <c r="J21" s="15" t="s">
        <v>94</v>
      </c>
      <c r="K21" s="16"/>
      <c r="L21" s="16"/>
    </row>
    <row r="22" customFormat="false" ht="34.5" hidden="false" customHeight="true" outlineLevel="0" collapsed="false">
      <c r="A22" s="15" t="s">
        <v>383</v>
      </c>
      <c r="B22" s="15" t="s">
        <v>96</v>
      </c>
      <c r="C22" s="15" t="s">
        <v>97</v>
      </c>
      <c r="D22" s="15" t="s">
        <v>384</v>
      </c>
      <c r="E22" s="15" t="s">
        <v>385</v>
      </c>
      <c r="F22" s="15" t="s">
        <v>386</v>
      </c>
      <c r="G22" s="15" t="s">
        <v>387</v>
      </c>
      <c r="H22" s="15" t="s">
        <v>388</v>
      </c>
      <c r="I22" s="15" t="s">
        <v>24</v>
      </c>
      <c r="J22" s="15" t="s">
        <v>98</v>
      </c>
      <c r="K22" s="16"/>
      <c r="L22" s="16"/>
    </row>
    <row r="23" customFormat="false" ht="34.5" hidden="false" customHeight="true" outlineLevel="0" collapsed="false">
      <c r="A23" s="15" t="s">
        <v>389</v>
      </c>
      <c r="B23" s="15" t="s">
        <v>100</v>
      </c>
      <c r="C23" s="15" t="s">
        <v>101</v>
      </c>
      <c r="D23" s="15" t="s">
        <v>390</v>
      </c>
      <c r="E23" s="15" t="s">
        <v>391</v>
      </c>
      <c r="F23" s="15" t="s">
        <v>392</v>
      </c>
      <c r="G23" s="15" t="s">
        <v>393</v>
      </c>
      <c r="H23" s="15" t="s">
        <v>394</v>
      </c>
      <c r="I23" s="15" t="s">
        <v>24</v>
      </c>
      <c r="J23" s="15" t="s">
        <v>102</v>
      </c>
      <c r="K23" s="16"/>
      <c r="L23" s="16"/>
    </row>
    <row r="24" customFormat="false" ht="23.25" hidden="false" customHeight="true" outlineLevel="0" collapsed="false">
      <c r="A24" s="15" t="s">
        <v>395</v>
      </c>
      <c r="B24" s="15" t="s">
        <v>100</v>
      </c>
      <c r="C24" s="15" t="s">
        <v>101</v>
      </c>
      <c r="D24" s="15" t="s">
        <v>396</v>
      </c>
      <c r="E24" s="15" t="s">
        <v>397</v>
      </c>
      <c r="F24" s="15" t="s">
        <v>398</v>
      </c>
      <c r="G24" s="15" t="s">
        <v>399</v>
      </c>
      <c r="H24" s="15" t="s">
        <v>400</v>
      </c>
      <c r="I24" s="15" t="s">
        <v>24</v>
      </c>
      <c r="J24" s="15" t="s">
        <v>102</v>
      </c>
      <c r="K24" s="16"/>
      <c r="L24" s="16"/>
    </row>
    <row r="25" customFormat="false" ht="23.25" hidden="false" customHeight="true" outlineLevel="0" collapsed="false">
      <c r="A25" s="15" t="s">
        <v>401</v>
      </c>
      <c r="B25" s="15" t="s">
        <v>104</v>
      </c>
      <c r="C25" s="15" t="s">
        <v>105</v>
      </c>
      <c r="D25" s="15" t="s">
        <v>402</v>
      </c>
      <c r="E25" s="15" t="s">
        <v>403</v>
      </c>
      <c r="F25" s="15" t="s">
        <v>404</v>
      </c>
      <c r="G25" s="15" t="s">
        <v>405</v>
      </c>
      <c r="H25" s="15" t="s">
        <v>406</v>
      </c>
      <c r="I25" s="15" t="s">
        <v>23</v>
      </c>
      <c r="J25" s="15" t="s">
        <v>107</v>
      </c>
      <c r="K25" s="16"/>
      <c r="L25" s="16"/>
    </row>
    <row r="26" customFormat="false" ht="23.25" hidden="false" customHeight="true" outlineLevel="0" collapsed="false">
      <c r="A26" s="15" t="s">
        <v>407</v>
      </c>
      <c r="B26" s="15" t="s">
        <v>109</v>
      </c>
      <c r="C26" s="15" t="s">
        <v>110</v>
      </c>
      <c r="D26" s="15" t="s">
        <v>408</v>
      </c>
      <c r="E26" s="15" t="s">
        <v>409</v>
      </c>
      <c r="F26" s="15" t="s">
        <v>410</v>
      </c>
      <c r="G26" s="15" t="s">
        <v>411</v>
      </c>
      <c r="H26" s="15" t="s">
        <v>412</v>
      </c>
      <c r="I26" s="15" t="s">
        <v>23</v>
      </c>
      <c r="J26" s="15" t="s">
        <v>111</v>
      </c>
      <c r="K26" s="16"/>
      <c r="L26" s="16"/>
    </row>
    <row r="27" customFormat="false" ht="34.5" hidden="false" customHeight="true" outlineLevel="0" collapsed="false">
      <c r="A27" s="15" t="s">
        <v>413</v>
      </c>
      <c r="B27" s="15" t="s">
        <v>113</v>
      </c>
      <c r="C27" s="15" t="s">
        <v>114</v>
      </c>
      <c r="D27" s="15" t="s">
        <v>414</v>
      </c>
      <c r="E27" s="15" t="s">
        <v>415</v>
      </c>
      <c r="F27" s="15" t="s">
        <v>416</v>
      </c>
      <c r="G27" s="15" t="s">
        <v>417</v>
      </c>
      <c r="H27" s="15" t="s">
        <v>418</v>
      </c>
      <c r="I27" s="15" t="s">
        <v>22</v>
      </c>
      <c r="J27" s="15" t="s">
        <v>116</v>
      </c>
      <c r="K27" s="16"/>
      <c r="L27" s="16"/>
    </row>
    <row r="28" customFormat="false" ht="23.25" hidden="false" customHeight="true" outlineLevel="0" collapsed="false">
      <c r="A28" s="15" t="s">
        <v>419</v>
      </c>
      <c r="B28" s="15" t="s">
        <v>113</v>
      </c>
      <c r="C28" s="15" t="s">
        <v>114</v>
      </c>
      <c r="D28" s="15" t="s">
        <v>420</v>
      </c>
      <c r="E28" s="15" t="s">
        <v>421</v>
      </c>
      <c r="F28" s="15" t="s">
        <v>422</v>
      </c>
      <c r="G28" s="15" t="s">
        <v>423</v>
      </c>
      <c r="H28" s="15" t="s">
        <v>424</v>
      </c>
      <c r="I28" s="15" t="s">
        <v>22</v>
      </c>
      <c r="J28" s="15" t="s">
        <v>116</v>
      </c>
      <c r="K28" s="16"/>
      <c r="L28" s="16"/>
    </row>
    <row r="29" customFormat="false" ht="23.25" hidden="false" customHeight="true" outlineLevel="0" collapsed="false">
      <c r="A29" s="15" t="s">
        <v>425</v>
      </c>
      <c r="B29" s="15" t="s">
        <v>118</v>
      </c>
      <c r="C29" s="15" t="s">
        <v>119</v>
      </c>
      <c r="D29" s="15" t="s">
        <v>426</v>
      </c>
      <c r="E29" s="15" t="s">
        <v>427</v>
      </c>
      <c r="F29" s="15" t="s">
        <v>428</v>
      </c>
      <c r="G29" s="15" t="s">
        <v>429</v>
      </c>
      <c r="H29" s="15" t="s">
        <v>430</v>
      </c>
      <c r="I29" s="15" t="s">
        <v>24</v>
      </c>
      <c r="J29" s="15" t="s">
        <v>81</v>
      </c>
      <c r="K29" s="16"/>
      <c r="L29" s="16"/>
    </row>
    <row r="30" customFormat="false" ht="23.25" hidden="false" customHeight="true" outlineLevel="0" collapsed="false">
      <c r="A30" s="15" t="s">
        <v>431</v>
      </c>
      <c r="B30" s="15" t="s">
        <v>121</v>
      </c>
      <c r="C30" s="15" t="s">
        <v>122</v>
      </c>
      <c r="D30" s="15" t="s">
        <v>432</v>
      </c>
      <c r="E30" s="15" t="s">
        <v>433</v>
      </c>
      <c r="F30" s="15" t="s">
        <v>434</v>
      </c>
      <c r="G30" s="15" t="s">
        <v>435</v>
      </c>
      <c r="H30" s="15" t="s">
        <v>436</v>
      </c>
      <c r="I30" s="15" t="s">
        <v>23</v>
      </c>
      <c r="J30" s="15" t="s">
        <v>122</v>
      </c>
      <c r="K30" s="16"/>
      <c r="L30" s="16"/>
    </row>
    <row r="31" customFormat="false" ht="23.25" hidden="false" customHeight="true" outlineLevel="0" collapsed="false">
      <c r="A31" s="15" t="s">
        <v>437</v>
      </c>
      <c r="B31" s="15" t="s">
        <v>121</v>
      </c>
      <c r="C31" s="15" t="s">
        <v>122</v>
      </c>
      <c r="D31" s="15" t="s">
        <v>438</v>
      </c>
      <c r="E31" s="15" t="s">
        <v>439</v>
      </c>
      <c r="F31" s="15" t="s">
        <v>440</v>
      </c>
      <c r="G31" s="15" t="s">
        <v>441</v>
      </c>
      <c r="H31" s="15" t="s">
        <v>442</v>
      </c>
      <c r="I31" s="15" t="s">
        <v>23</v>
      </c>
      <c r="J31" s="15" t="s">
        <v>122</v>
      </c>
      <c r="K31" s="16"/>
      <c r="L31" s="16"/>
    </row>
    <row r="32" customFormat="false" ht="15" hidden="false" customHeight="true" outlineLevel="0" collapsed="false">
      <c r="A32" s="15" t="s">
        <v>443</v>
      </c>
      <c r="B32" s="15" t="s">
        <v>121</v>
      </c>
      <c r="C32" s="15" t="s">
        <v>122</v>
      </c>
      <c r="D32" s="15" t="s">
        <v>444</v>
      </c>
      <c r="E32" s="15" t="s">
        <v>445</v>
      </c>
      <c r="F32" s="15" t="s">
        <v>446</v>
      </c>
      <c r="G32" s="15" t="s">
        <v>447</v>
      </c>
      <c r="H32" s="15" t="s">
        <v>448</v>
      </c>
      <c r="I32" s="15" t="s">
        <v>23</v>
      </c>
      <c r="J32" s="15" t="s">
        <v>122</v>
      </c>
      <c r="K32" s="16"/>
      <c r="L32" s="16"/>
    </row>
    <row r="33" customFormat="false" ht="23.25" hidden="false" customHeight="true" outlineLevel="0" collapsed="false">
      <c r="A33" s="15" t="s">
        <v>449</v>
      </c>
      <c r="B33" s="15" t="s">
        <v>124</v>
      </c>
      <c r="C33" s="15" t="s">
        <v>125</v>
      </c>
      <c r="D33" s="15" t="s">
        <v>450</v>
      </c>
      <c r="E33" s="15" t="s">
        <v>451</v>
      </c>
      <c r="F33" s="15" t="s">
        <v>452</v>
      </c>
      <c r="G33" s="15" t="s">
        <v>453</v>
      </c>
      <c r="H33" s="15" t="s">
        <v>454</v>
      </c>
      <c r="I33" s="15" t="s">
        <v>24</v>
      </c>
      <c r="J33" s="15" t="s">
        <v>107</v>
      </c>
      <c r="K33" s="16"/>
      <c r="L33" s="16"/>
    </row>
    <row r="34" customFormat="false" ht="23.25" hidden="false" customHeight="true" outlineLevel="0" collapsed="false">
      <c r="A34" s="15" t="s">
        <v>455</v>
      </c>
      <c r="B34" s="15" t="s">
        <v>127</v>
      </c>
      <c r="C34" s="15" t="s">
        <v>128</v>
      </c>
      <c r="D34" s="15" t="s">
        <v>456</v>
      </c>
      <c r="E34" s="15" t="s">
        <v>457</v>
      </c>
      <c r="F34" s="15" t="s">
        <v>458</v>
      </c>
      <c r="G34" s="15" t="s">
        <v>459</v>
      </c>
      <c r="H34" s="15" t="s">
        <v>460</v>
      </c>
      <c r="I34" s="15" t="s">
        <v>23</v>
      </c>
      <c r="J34" s="15" t="s">
        <v>129</v>
      </c>
      <c r="K34" s="16"/>
      <c r="L34" s="16"/>
    </row>
    <row r="35" customFormat="false" ht="34.5" hidden="false" customHeight="true" outlineLevel="0" collapsed="false">
      <c r="A35" s="15" t="s">
        <v>461</v>
      </c>
      <c r="B35" s="15" t="s">
        <v>131</v>
      </c>
      <c r="C35" s="15" t="s">
        <v>132</v>
      </c>
      <c r="D35" s="15" t="s">
        <v>462</v>
      </c>
      <c r="E35" s="15" t="s">
        <v>463</v>
      </c>
      <c r="F35" s="15" t="s">
        <v>464</v>
      </c>
      <c r="G35" s="15" t="s">
        <v>465</v>
      </c>
      <c r="H35" s="15" t="s">
        <v>466</v>
      </c>
      <c r="I35" s="15" t="s">
        <v>23</v>
      </c>
      <c r="J35" s="15" t="s">
        <v>129</v>
      </c>
      <c r="K35" s="16"/>
      <c r="L35" s="16"/>
    </row>
  </sheetData>
  <dataValidations count="1">
    <dataValidation allowBlank="true" errorStyle="stop" operator="between" showDropDown="false" showErrorMessage="false" showInputMessage="false" sqref="K2:K35" type="list">
      <formula1>"Yes,Yes – with changes,No – rework"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60"/>
    <col collapsed="false" customWidth="true" hidden="false" outlineLevel="0" max="4" min="4" style="1" width="50"/>
    <col collapsed="false" customWidth="true" hidden="false" outlineLevel="0" max="5" min="5" style="1" width="22"/>
  </cols>
  <sheetData>
    <row r="1" customFormat="false" ht="23.25" hidden="false" customHeight="true" outlineLevel="0" collapsed="false">
      <c r="A1" s="14" t="s">
        <v>467</v>
      </c>
      <c r="B1" s="14" t="s">
        <v>468</v>
      </c>
      <c r="C1" s="14" t="s">
        <v>469</v>
      </c>
      <c r="D1" s="14" t="s">
        <v>470</v>
      </c>
      <c r="E1" s="14" t="s">
        <v>471</v>
      </c>
    </row>
    <row r="2" customFormat="false" ht="15" hidden="false" customHeight="true" outlineLevel="0" collapsed="false">
      <c r="A2" s="15" t="s">
        <v>472</v>
      </c>
      <c r="B2" s="15" t="s">
        <v>46</v>
      </c>
      <c r="C2" s="15" t="s">
        <v>473</v>
      </c>
      <c r="D2" s="15" t="s">
        <v>474</v>
      </c>
      <c r="E2" s="15" t="s">
        <v>475</v>
      </c>
    </row>
    <row r="3" customFormat="false" ht="15" hidden="false" customHeight="true" outlineLevel="0" collapsed="false">
      <c r="A3" s="15" t="s">
        <v>476</v>
      </c>
      <c r="B3" s="15" t="s">
        <v>46</v>
      </c>
      <c r="C3" s="15" t="s">
        <v>477</v>
      </c>
      <c r="D3" s="15" t="s">
        <v>478</v>
      </c>
      <c r="E3" s="15" t="s">
        <v>479</v>
      </c>
    </row>
    <row r="4" customFormat="false" ht="15" hidden="false" customHeight="true" outlineLevel="0" collapsed="false">
      <c r="A4" s="15" t="s">
        <v>480</v>
      </c>
      <c r="B4" s="15" t="s">
        <v>46</v>
      </c>
      <c r="C4" s="15" t="s">
        <v>481</v>
      </c>
      <c r="D4" s="15" t="s">
        <v>482</v>
      </c>
      <c r="E4" s="15" t="s">
        <v>483</v>
      </c>
    </row>
    <row r="5" customFormat="false" ht="15" hidden="false" customHeight="true" outlineLevel="0" collapsed="false">
      <c r="A5" s="15" t="s">
        <v>484</v>
      </c>
      <c r="B5" s="15" t="s">
        <v>59</v>
      </c>
      <c r="C5" s="15" t="s">
        <v>485</v>
      </c>
      <c r="D5" s="15" t="s">
        <v>486</v>
      </c>
      <c r="E5" s="15" t="s">
        <v>487</v>
      </c>
    </row>
    <row r="6" customFormat="false" ht="15" hidden="false" customHeight="true" outlineLevel="0" collapsed="false">
      <c r="A6" s="15" t="s">
        <v>488</v>
      </c>
      <c r="B6" s="15" t="s">
        <v>65</v>
      </c>
      <c r="C6" s="15" t="s">
        <v>489</v>
      </c>
      <c r="D6" s="15" t="s">
        <v>490</v>
      </c>
      <c r="E6" s="15" t="s">
        <v>491</v>
      </c>
    </row>
    <row r="7" customFormat="false" ht="23.25" hidden="false" customHeight="true" outlineLevel="0" collapsed="false">
      <c r="A7" s="15" t="s">
        <v>492</v>
      </c>
      <c r="B7" s="15" t="s">
        <v>74</v>
      </c>
      <c r="C7" s="15" t="s">
        <v>493</v>
      </c>
      <c r="D7" s="15" t="s">
        <v>494</v>
      </c>
      <c r="E7" s="15" t="s">
        <v>495</v>
      </c>
    </row>
    <row r="8" customFormat="false" ht="15" hidden="false" customHeight="true" outlineLevel="0" collapsed="false">
      <c r="A8" s="15" t="s">
        <v>496</v>
      </c>
      <c r="B8" s="15" t="s">
        <v>74</v>
      </c>
      <c r="C8" s="15" t="s">
        <v>497</v>
      </c>
      <c r="D8" s="15" t="s">
        <v>498</v>
      </c>
      <c r="E8" s="15" t="s">
        <v>499</v>
      </c>
    </row>
    <row r="9" customFormat="false" ht="15" hidden="false" customHeight="true" outlineLevel="0" collapsed="false">
      <c r="A9" s="15" t="s">
        <v>500</v>
      </c>
      <c r="B9" s="15" t="s">
        <v>83</v>
      </c>
      <c r="C9" s="15" t="s">
        <v>501</v>
      </c>
      <c r="D9" s="15" t="s">
        <v>502</v>
      </c>
      <c r="E9" s="15" t="s">
        <v>495</v>
      </c>
    </row>
    <row r="10" customFormat="false" ht="15" hidden="false" customHeight="true" outlineLevel="0" collapsed="false">
      <c r="A10" s="15" t="s">
        <v>503</v>
      </c>
      <c r="B10" s="15" t="s">
        <v>78</v>
      </c>
      <c r="C10" s="15" t="s">
        <v>504</v>
      </c>
      <c r="D10" s="15" t="s">
        <v>505</v>
      </c>
      <c r="E10" s="15" t="s">
        <v>506</v>
      </c>
    </row>
    <row r="11" customFormat="false" ht="15" hidden="false" customHeight="true" outlineLevel="0" collapsed="false">
      <c r="A11" s="15" t="s">
        <v>507</v>
      </c>
      <c r="B11" s="15" t="s">
        <v>83</v>
      </c>
      <c r="C11" s="15" t="s">
        <v>508</v>
      </c>
      <c r="D11" s="15" t="s">
        <v>509</v>
      </c>
      <c r="E11" s="15" t="s">
        <v>510</v>
      </c>
    </row>
    <row r="12" customFormat="false" ht="15" hidden="false" customHeight="true" outlineLevel="0" collapsed="false">
      <c r="A12" s="15" t="s">
        <v>511</v>
      </c>
      <c r="B12" s="15" t="s">
        <v>91</v>
      </c>
      <c r="C12" s="15" t="s">
        <v>512</v>
      </c>
      <c r="D12" s="15" t="s">
        <v>513</v>
      </c>
      <c r="E12" s="15" t="s">
        <v>514</v>
      </c>
    </row>
    <row r="13" customFormat="false" ht="15" hidden="false" customHeight="true" outlineLevel="0" collapsed="false">
      <c r="A13" s="15" t="s">
        <v>515</v>
      </c>
      <c r="B13" s="15" t="s">
        <v>55</v>
      </c>
      <c r="C13" s="15" t="s">
        <v>516</v>
      </c>
      <c r="D13" s="15" t="s">
        <v>502</v>
      </c>
      <c r="E13" s="15" t="s">
        <v>517</v>
      </c>
    </row>
    <row r="14" customFormat="false" ht="15" hidden="false" customHeight="true" outlineLevel="0" collapsed="false">
      <c r="A14" s="15" t="s">
        <v>518</v>
      </c>
      <c r="B14" s="15" t="s">
        <v>124</v>
      </c>
      <c r="C14" s="15" t="s">
        <v>519</v>
      </c>
      <c r="D14" s="15" t="s">
        <v>520</v>
      </c>
      <c r="E14" s="15" t="s">
        <v>521</v>
      </c>
    </row>
    <row r="15" customFormat="false" ht="15" hidden="false" customHeight="true" outlineLevel="0" collapsed="false">
      <c r="A15" s="15" t="s">
        <v>522</v>
      </c>
      <c r="B15" s="15" t="s">
        <v>121</v>
      </c>
      <c r="C15" s="15" t="s">
        <v>523</v>
      </c>
      <c r="D15" s="15" t="s">
        <v>524</v>
      </c>
      <c r="E15" s="15" t="s">
        <v>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70"/>
    <col collapsed="false" customWidth="true" hidden="false" outlineLevel="0" max="4" min="3" style="1" width="40"/>
  </cols>
  <sheetData>
    <row r="1" customFormat="false" ht="15" hidden="false" customHeight="true" outlineLevel="0" collapsed="false">
      <c r="A1" s="14" t="s">
        <v>38</v>
      </c>
      <c r="B1" s="14" t="s">
        <v>526</v>
      </c>
      <c r="C1" s="14" t="s">
        <v>527</v>
      </c>
      <c r="D1" s="14" t="s">
        <v>528</v>
      </c>
    </row>
    <row r="2" customFormat="false" ht="15" hidden="false" customHeight="true" outlineLevel="0" collapsed="false">
      <c r="A2" s="15" t="s">
        <v>529</v>
      </c>
      <c r="B2" s="15" t="s">
        <v>530</v>
      </c>
      <c r="C2" s="16"/>
      <c r="D2" s="16"/>
    </row>
    <row r="3" customFormat="false" ht="15" hidden="false" customHeight="true" outlineLevel="0" collapsed="false">
      <c r="A3" s="15" t="s">
        <v>531</v>
      </c>
      <c r="B3" s="15" t="s">
        <v>532</v>
      </c>
      <c r="C3" s="16"/>
      <c r="D3" s="16"/>
    </row>
    <row r="4" customFormat="false" ht="15" hidden="false" customHeight="true" outlineLevel="0" collapsed="false">
      <c r="A4" s="15" t="s">
        <v>533</v>
      </c>
      <c r="B4" s="15" t="s">
        <v>534</v>
      </c>
      <c r="C4" s="16"/>
      <c r="D4" s="16"/>
    </row>
    <row r="5" customFormat="false" ht="15" hidden="false" customHeight="true" outlineLevel="0" collapsed="false">
      <c r="A5" s="15" t="s">
        <v>535</v>
      </c>
      <c r="B5" s="15" t="s">
        <v>536</v>
      </c>
      <c r="C5" s="16"/>
      <c r="D5" s="16"/>
    </row>
    <row r="6" customFormat="false" ht="15" hidden="false" customHeight="true" outlineLevel="0" collapsed="false">
      <c r="A6" s="15" t="s">
        <v>537</v>
      </c>
      <c r="B6" s="15" t="s">
        <v>538</v>
      </c>
      <c r="C6" s="16"/>
      <c r="D6" s="16"/>
    </row>
    <row r="7" customFormat="false" ht="15" hidden="false" customHeight="true" outlineLevel="0" collapsed="false">
      <c r="A7" s="15" t="s">
        <v>539</v>
      </c>
      <c r="B7" s="15" t="s">
        <v>540</v>
      </c>
      <c r="C7" s="16"/>
      <c r="D7" s="16"/>
    </row>
    <row r="8" customFormat="false" ht="15" hidden="false" customHeight="true" outlineLevel="0" collapsed="false">
      <c r="A8" s="15" t="s">
        <v>541</v>
      </c>
      <c r="B8" s="15" t="s">
        <v>542</v>
      </c>
      <c r="C8" s="16"/>
      <c r="D8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0"/>
    <col collapsed="false" customWidth="true" hidden="false" outlineLevel="0" max="3" min="3" style="1" width="20"/>
    <col collapsed="false" customWidth="true" hidden="false" outlineLevel="0" max="4" min="4" style="1" width="40"/>
    <col collapsed="false" customWidth="true" hidden="false" outlineLevel="0" max="5" min="5" style="1" width="14"/>
    <col collapsed="false" customWidth="true" hidden="false" outlineLevel="0" max="6" min="6" style="1" width="12"/>
  </cols>
  <sheetData>
    <row r="1" customFormat="false" ht="15" hidden="false" customHeight="true" outlineLevel="0" collapsed="false">
      <c r="A1" s="14" t="s">
        <v>543</v>
      </c>
      <c r="B1" s="14" t="s">
        <v>544</v>
      </c>
      <c r="C1" s="14" t="s">
        <v>139</v>
      </c>
      <c r="D1" s="14" t="s">
        <v>545</v>
      </c>
      <c r="E1" s="14" t="s">
        <v>546</v>
      </c>
      <c r="F1" s="14" t="s">
        <v>547</v>
      </c>
    </row>
    <row r="2" customFormat="false" ht="23.25" hidden="false" customHeight="true" outlineLevel="0" collapsed="false">
      <c r="A2" s="15" t="s">
        <v>548</v>
      </c>
      <c r="B2" s="15" t="s">
        <v>549</v>
      </c>
      <c r="C2" s="16"/>
      <c r="D2" s="16"/>
      <c r="E2" s="16"/>
      <c r="F2" s="16" t="s">
        <v>550</v>
      </c>
    </row>
    <row r="3" customFormat="false" ht="15" hidden="false" customHeight="true" outlineLevel="0" collapsed="false">
      <c r="A3" s="15" t="s">
        <v>551</v>
      </c>
      <c r="B3" s="15" t="s">
        <v>552</v>
      </c>
      <c r="C3" s="16"/>
      <c r="D3" s="16"/>
      <c r="E3" s="16"/>
      <c r="F3" s="16" t="s">
        <v>550</v>
      </c>
    </row>
    <row r="4" customFormat="false" ht="23.25" hidden="false" customHeight="true" outlineLevel="0" collapsed="false">
      <c r="A4" s="15" t="s">
        <v>553</v>
      </c>
      <c r="B4" s="15" t="s">
        <v>554</v>
      </c>
      <c r="C4" s="16"/>
      <c r="D4" s="16"/>
      <c r="E4" s="16"/>
      <c r="F4" s="16" t="s">
        <v>550</v>
      </c>
    </row>
    <row r="5" customFormat="false" ht="23.25" hidden="false" customHeight="true" outlineLevel="0" collapsed="false">
      <c r="A5" s="15" t="s">
        <v>555</v>
      </c>
      <c r="B5" s="15" t="s">
        <v>556</v>
      </c>
      <c r="C5" s="16"/>
      <c r="D5" s="16"/>
      <c r="E5" s="16"/>
      <c r="F5" s="16" t="s">
        <v>550</v>
      </c>
    </row>
    <row r="6" customFormat="false" ht="15" hidden="false" customHeight="true" outlineLevel="0" collapsed="false">
      <c r="A6" s="15" t="s">
        <v>557</v>
      </c>
      <c r="B6" s="15" t="s">
        <v>558</v>
      </c>
      <c r="C6" s="16"/>
      <c r="D6" s="16"/>
      <c r="E6" s="16"/>
      <c r="F6" s="16" t="s">
        <v>550</v>
      </c>
    </row>
    <row r="7" customFormat="false" ht="23.25" hidden="false" customHeight="true" outlineLevel="0" collapsed="false">
      <c r="A7" s="15" t="s">
        <v>559</v>
      </c>
      <c r="B7" s="15" t="s">
        <v>560</v>
      </c>
      <c r="C7" s="16"/>
      <c r="D7" s="16"/>
      <c r="E7" s="16"/>
      <c r="F7" s="16" t="s">
        <v>550</v>
      </c>
    </row>
    <row r="8" customFormat="false" ht="23.25" hidden="false" customHeight="true" outlineLevel="0" collapsed="false">
      <c r="A8" s="15" t="s">
        <v>561</v>
      </c>
      <c r="B8" s="15" t="s">
        <v>562</v>
      </c>
      <c r="C8" s="16"/>
      <c r="D8" s="16"/>
      <c r="E8" s="16"/>
      <c r="F8" s="16" t="s">
        <v>550</v>
      </c>
    </row>
    <row r="9" customFormat="false" ht="23.25" hidden="false" customHeight="true" outlineLevel="0" collapsed="false">
      <c r="A9" s="15" t="s">
        <v>563</v>
      </c>
      <c r="B9" s="15" t="s">
        <v>564</v>
      </c>
      <c r="C9" s="16"/>
      <c r="D9" s="16"/>
      <c r="E9" s="16"/>
      <c r="F9" s="16" t="s">
        <v>550</v>
      </c>
    </row>
    <row r="10" customFormat="false" ht="23.25" hidden="false" customHeight="true" outlineLevel="0" collapsed="false">
      <c r="A10" s="15" t="s">
        <v>565</v>
      </c>
      <c r="B10" s="15" t="s">
        <v>566</v>
      </c>
      <c r="C10" s="16"/>
      <c r="D10" s="16"/>
      <c r="E10" s="16"/>
      <c r="F10" s="16" t="s">
        <v>550</v>
      </c>
    </row>
    <row r="11" customFormat="false" ht="15" hidden="false" customHeight="true" outlineLevel="0" collapsed="false">
      <c r="A11" s="15" t="s">
        <v>567</v>
      </c>
      <c r="B11" s="15" t="s">
        <v>568</v>
      </c>
      <c r="C11" s="16"/>
      <c r="D11" s="16"/>
      <c r="E11" s="16"/>
      <c r="F11" s="16" t="s">
        <v>550</v>
      </c>
    </row>
  </sheetData>
  <dataValidations count="1">
    <dataValidation allowBlank="false" errorStyle="stop" operator="between" showDropDown="false" showErrorMessage="false" showInputMessage="false" sqref="F2:F11" type="list">
      <formula1>"Open,In progress,Closed"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13"/>
    <col collapsed="false" customWidth="true" hidden="false" outlineLevel="0" max="5" min="5" style="1" width="36"/>
    <col collapsed="false" customWidth="true" hidden="false" outlineLevel="0" max="6" min="6" style="1" width="50"/>
    <col collapsed="false" customWidth="true" hidden="false" outlineLevel="0" max="7" min="7" style="1" width="10"/>
    <col collapsed="false" customWidth="true" hidden="false" outlineLevel="0" max="8" min="8" style="1" width="40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3" min="12" style="1" width="30"/>
    <col collapsed="false" customWidth="true" hidden="false" outlineLevel="0" max="14" min="14" style="1" width="16"/>
  </cols>
  <sheetData>
    <row r="1" customFormat="false" ht="17.25" hidden="false" customHeight="true" outlineLevel="0" collapsed="false">
      <c r="A1" s="17" t="s">
        <v>569</v>
      </c>
    </row>
    <row r="2" customFormat="false" ht="15" hidden="false" customHeight="true" outlineLevel="0" collapsed="false">
      <c r="A2" s="18" t="s">
        <v>570</v>
      </c>
    </row>
    <row r="4" customFormat="false" ht="15" hidden="false" customHeight="true" outlineLevel="0" collapsed="false">
      <c r="A4" s="20" t="s">
        <v>571</v>
      </c>
    </row>
    <row r="5" customFormat="false" ht="15" hidden="false" customHeight="true" outlineLevel="0" collapsed="false">
      <c r="A5" s="21" t="s">
        <v>572</v>
      </c>
      <c r="B5" s="3" t="n">
        <f aca="false">COUNTIF($D$12:$D$32,A5)</f>
        <v>8</v>
      </c>
    </row>
    <row r="6" customFormat="false" ht="15" hidden="false" customHeight="true" outlineLevel="0" collapsed="false">
      <c r="A6" s="22" t="s">
        <v>573</v>
      </c>
      <c r="B6" s="3" t="n">
        <f aca="false">COUNTIF($D$12:$D$32,A6)</f>
        <v>12</v>
      </c>
    </row>
    <row r="7" customFormat="false" ht="15" hidden="false" customHeight="true" outlineLevel="0" collapsed="false">
      <c r="A7" s="23" t="s">
        <v>574</v>
      </c>
      <c r="B7" s="3" t="n">
        <f aca="false">COUNTIF($D$12:$D$32,A7)</f>
        <v>1</v>
      </c>
    </row>
    <row r="8" customFormat="false" ht="15" hidden="false" customHeight="true" outlineLevel="0" collapsed="false">
      <c r="A8" s="24" t="s">
        <v>575</v>
      </c>
      <c r="B8" s="3" t="n">
        <f aca="false">COUNTIFS($G$12:$G$32,"High",$D$12:$D$32,"&lt;&gt;Covered")</f>
        <v>8</v>
      </c>
    </row>
    <row r="9" customFormat="false" ht="15" hidden="false" customHeight="true" outlineLevel="0" collapsed="false">
      <c r="A9" s="24" t="s">
        <v>576</v>
      </c>
      <c r="B9" s="3" t="n">
        <f aca="false">COUNTA($A$12:$A$32)</f>
        <v>21</v>
      </c>
    </row>
    <row r="10" customFormat="false" ht="15" hidden="false" customHeight="false" outlineLevel="0" collapsed="false">
      <c r="A10" s="25" t="s">
        <v>577</v>
      </c>
      <c r="B10" s="6" t="n">
        <f aca="false">COUNTIF($N$12:$N$32,"Deferred*")</f>
        <v>2</v>
      </c>
    </row>
    <row r="11" customFormat="false" ht="45.75" hidden="false" customHeight="true" outlineLevel="0" collapsed="false">
      <c r="A11" s="14" t="s">
        <v>37</v>
      </c>
      <c r="B11" s="14" t="s">
        <v>38</v>
      </c>
      <c r="C11" s="14" t="s">
        <v>578</v>
      </c>
      <c r="D11" s="14" t="s">
        <v>579</v>
      </c>
      <c r="E11" s="14" t="s">
        <v>580</v>
      </c>
      <c r="F11" s="14" t="s">
        <v>581</v>
      </c>
      <c r="G11" s="14" t="s">
        <v>582</v>
      </c>
      <c r="H11" s="14" t="s">
        <v>583</v>
      </c>
      <c r="I11" s="14" t="s">
        <v>584</v>
      </c>
      <c r="J11" s="14" t="s">
        <v>585</v>
      </c>
      <c r="K11" s="14" t="s">
        <v>586</v>
      </c>
      <c r="L11" s="14" t="s">
        <v>587</v>
      </c>
      <c r="M11" s="14" t="s">
        <v>528</v>
      </c>
      <c r="N11" s="14" t="s">
        <v>547</v>
      </c>
    </row>
    <row r="12" customFormat="false" ht="45.75" hidden="false" customHeight="true" outlineLevel="0" collapsed="false">
      <c r="A12" s="15" t="s">
        <v>46</v>
      </c>
      <c r="B12" s="15" t="s">
        <v>47</v>
      </c>
      <c r="C12" s="15" t="s">
        <v>588</v>
      </c>
      <c r="D12" s="26" t="s">
        <v>573</v>
      </c>
      <c r="E12" s="15" t="s">
        <v>589</v>
      </c>
      <c r="F12" s="15" t="s">
        <v>590</v>
      </c>
      <c r="G12" s="15" t="s">
        <v>591</v>
      </c>
      <c r="H12" s="15" t="s">
        <v>592</v>
      </c>
      <c r="I12" s="15" t="s">
        <v>593</v>
      </c>
      <c r="J12" s="15" t="n">
        <f aca="false">COUNTIF('SOW Scope Map'!$E$5:$E$104,"*"&amp;A12&amp;"*")</f>
        <v>0</v>
      </c>
      <c r="K12" s="27" t="n">
        <f aca="false">SUMIF('SOW Scope Map'!$E$5:$E$104,"*"&amp;A12&amp;"*",'SOW Scope Map'!$D$5:$D$104)</f>
        <v>0</v>
      </c>
      <c r="L12" s="16"/>
      <c r="M12" s="16"/>
      <c r="N12" s="16" t="s">
        <v>550</v>
      </c>
    </row>
    <row r="13" customFormat="false" ht="34.5" hidden="false" customHeight="true" outlineLevel="0" collapsed="false">
      <c r="A13" s="15" t="s">
        <v>51</v>
      </c>
      <c r="B13" s="15" t="s">
        <v>52</v>
      </c>
      <c r="C13" s="15" t="s">
        <v>594</v>
      </c>
      <c r="D13" s="26" t="s">
        <v>573</v>
      </c>
      <c r="E13" s="15" t="s">
        <v>595</v>
      </c>
      <c r="F13" s="15" t="s">
        <v>596</v>
      </c>
      <c r="G13" s="15" t="s">
        <v>597</v>
      </c>
      <c r="H13" s="15" t="s">
        <v>598</v>
      </c>
      <c r="I13" s="15" t="s">
        <v>281</v>
      </c>
      <c r="J13" s="15" t="n">
        <f aca="false">COUNTIF('SOW Scope Map'!$E$5:$E$104,"*"&amp;A13&amp;"*")</f>
        <v>2</v>
      </c>
      <c r="K13" s="27" t="n">
        <f aca="false">SUMIF('SOW Scope Map'!$E$5:$E$104,"*"&amp;A13&amp;"*",'SOW Scope Map'!$D$5:$D$104)</f>
        <v>12.96</v>
      </c>
      <c r="L13" s="16"/>
      <c r="M13" s="16"/>
      <c r="N13" s="16" t="s">
        <v>550</v>
      </c>
    </row>
    <row r="14" customFormat="false" ht="34.5" hidden="false" customHeight="true" outlineLevel="0" collapsed="false">
      <c r="A14" s="15" t="s">
        <v>55</v>
      </c>
      <c r="B14" s="15" t="s">
        <v>56</v>
      </c>
      <c r="C14" s="15" t="s">
        <v>599</v>
      </c>
      <c r="D14" s="28" t="s">
        <v>572</v>
      </c>
      <c r="E14" s="15" t="s">
        <v>600</v>
      </c>
      <c r="F14" s="15" t="s">
        <v>601</v>
      </c>
      <c r="G14" s="15" t="s">
        <v>602</v>
      </c>
      <c r="H14" s="15" t="s">
        <v>603</v>
      </c>
      <c r="I14" s="15" t="s">
        <v>287</v>
      </c>
      <c r="J14" s="15" t="n">
        <f aca="false">COUNTIF('SOW Scope Map'!$E$5:$E$104,"*"&amp;A14&amp;"*")</f>
        <v>0</v>
      </c>
      <c r="K14" s="27" t="n">
        <f aca="false">SUMIF('SOW Scope Map'!$E$5:$E$104,"*"&amp;A14&amp;"*",'SOW Scope Map'!$D$5:$D$104)</f>
        <v>0</v>
      </c>
      <c r="L14" s="16"/>
      <c r="M14" s="16"/>
      <c r="N14" s="16" t="s">
        <v>550</v>
      </c>
    </row>
    <row r="15" customFormat="false" ht="45.75" hidden="false" customHeight="true" outlineLevel="0" collapsed="false">
      <c r="A15" s="15" t="s">
        <v>59</v>
      </c>
      <c r="B15" s="15" t="s">
        <v>60</v>
      </c>
      <c r="C15" s="15" t="s">
        <v>604</v>
      </c>
      <c r="D15" s="28" t="s">
        <v>572</v>
      </c>
      <c r="E15" s="15" t="s">
        <v>605</v>
      </c>
      <c r="F15" s="15" t="s">
        <v>606</v>
      </c>
      <c r="G15" s="15" t="s">
        <v>597</v>
      </c>
      <c r="H15" s="15" t="s">
        <v>607</v>
      </c>
      <c r="I15" s="15" t="s">
        <v>608</v>
      </c>
      <c r="J15" s="15" t="n">
        <f aca="false">COUNTIF('SOW Scope Map'!$E$5:$E$104,"*"&amp;A15&amp;"*")</f>
        <v>30</v>
      </c>
      <c r="K15" s="27" t="n">
        <f aca="false">SUMIF('SOW Scope Map'!$E$5:$E$104,"*"&amp;A15&amp;"*",'SOW Scope Map'!$D$5:$D$104)</f>
        <v>171.36</v>
      </c>
      <c r="L15" s="16"/>
      <c r="M15" s="16"/>
      <c r="N15" s="16" t="s">
        <v>550</v>
      </c>
    </row>
    <row r="16" customFormat="false" ht="45.75" hidden="false" customHeight="true" outlineLevel="0" collapsed="false">
      <c r="A16" s="15" t="s">
        <v>65</v>
      </c>
      <c r="B16" s="15" t="s">
        <v>66</v>
      </c>
      <c r="C16" s="15" t="s">
        <v>609</v>
      </c>
      <c r="D16" s="26" t="s">
        <v>573</v>
      </c>
      <c r="E16" s="15" t="s">
        <v>610</v>
      </c>
      <c r="F16" s="15" t="s">
        <v>611</v>
      </c>
      <c r="G16" s="15" t="s">
        <v>591</v>
      </c>
      <c r="H16" s="15" t="s">
        <v>612</v>
      </c>
      <c r="I16" s="15" t="s">
        <v>311</v>
      </c>
      <c r="J16" s="15" t="n">
        <f aca="false">COUNTIF('SOW Scope Map'!$E$5:$E$104,"*"&amp;A16&amp;"*")</f>
        <v>15</v>
      </c>
      <c r="K16" s="27" t="n">
        <f aca="false">SUMIF('SOW Scope Map'!$E$5:$E$104,"*"&amp;A16&amp;"*",'SOW Scope Map'!$D$5:$D$104)</f>
        <v>77.76</v>
      </c>
      <c r="L16" s="16"/>
      <c r="M16" s="16"/>
      <c r="N16" s="16" t="s">
        <v>550</v>
      </c>
    </row>
    <row r="17" customFormat="false" ht="45.75" hidden="false" customHeight="true" outlineLevel="0" collapsed="false">
      <c r="A17" s="15" t="s">
        <v>70</v>
      </c>
      <c r="B17" s="15" t="s">
        <v>71</v>
      </c>
      <c r="C17" s="15" t="s">
        <v>613</v>
      </c>
      <c r="D17" s="26" t="s">
        <v>573</v>
      </c>
      <c r="E17" s="15" t="s">
        <v>614</v>
      </c>
      <c r="F17" s="15" t="s">
        <v>615</v>
      </c>
      <c r="G17" s="15" t="s">
        <v>591</v>
      </c>
      <c r="H17" s="15" t="s">
        <v>616</v>
      </c>
      <c r="I17" s="15" t="s">
        <v>317</v>
      </c>
      <c r="J17" s="15" t="n">
        <f aca="false">COUNTIF('SOW Scope Map'!$E$5:$E$104,"*"&amp;A17&amp;"*")</f>
        <v>6</v>
      </c>
      <c r="K17" s="27" t="n">
        <f aca="false">SUMIF('SOW Scope Map'!$E$5:$E$104,"*"&amp;A17&amp;"*",'SOW Scope Map'!$D$5:$D$104)</f>
        <v>31.68</v>
      </c>
      <c r="L17" s="16"/>
      <c r="M17" s="16"/>
      <c r="N17" s="16" t="s">
        <v>550</v>
      </c>
    </row>
    <row r="18" customFormat="false" ht="45.75" hidden="false" customHeight="true" outlineLevel="0" collapsed="false">
      <c r="A18" s="15" t="s">
        <v>74</v>
      </c>
      <c r="B18" s="15" t="s">
        <v>75</v>
      </c>
      <c r="C18" s="15" t="s">
        <v>617</v>
      </c>
      <c r="D18" s="28" t="s">
        <v>572</v>
      </c>
      <c r="E18" s="15" t="s">
        <v>618</v>
      </c>
      <c r="F18" s="15" t="s">
        <v>619</v>
      </c>
      <c r="G18" s="15" t="s">
        <v>591</v>
      </c>
      <c r="H18" s="15" t="s">
        <v>620</v>
      </c>
      <c r="I18" s="15" t="s">
        <v>621</v>
      </c>
      <c r="J18" s="15" t="n">
        <f aca="false">COUNTIF('SOW Scope Map'!$E$5:$E$104,"*"&amp;A18&amp;"*")</f>
        <v>7</v>
      </c>
      <c r="K18" s="27" t="n">
        <f aca="false">SUMIF('SOW Scope Map'!$E$5:$E$104,"*"&amp;A18&amp;"*",'SOW Scope Map'!$D$5:$D$104)</f>
        <v>36</v>
      </c>
      <c r="L18" s="16"/>
      <c r="M18" s="16"/>
      <c r="N18" s="16" t="s">
        <v>550</v>
      </c>
    </row>
    <row r="19" customFormat="false" ht="23.25" hidden="false" customHeight="true" outlineLevel="0" collapsed="false">
      <c r="A19" s="15" t="s">
        <v>78</v>
      </c>
      <c r="B19" s="15" t="s">
        <v>79</v>
      </c>
      <c r="C19" s="15" t="s">
        <v>622</v>
      </c>
      <c r="D19" s="28" t="s">
        <v>572</v>
      </c>
      <c r="E19" s="15" t="s">
        <v>623</v>
      </c>
      <c r="F19" s="15" t="s">
        <v>624</v>
      </c>
      <c r="G19" s="15" t="s">
        <v>602</v>
      </c>
      <c r="H19" s="15" t="s">
        <v>625</v>
      </c>
      <c r="I19" s="15" t="s">
        <v>335</v>
      </c>
      <c r="J19" s="15" t="n">
        <f aca="false">COUNTIF('SOW Scope Map'!$E$5:$E$104,"*"&amp;A19&amp;"*")</f>
        <v>5</v>
      </c>
      <c r="K19" s="27" t="n">
        <f aca="false">SUMIF('SOW Scope Map'!$E$5:$E$104,"*"&amp;A19&amp;"*",'SOW Scope Map'!$D$5:$D$104)</f>
        <v>24.48</v>
      </c>
      <c r="L19" s="16"/>
      <c r="M19" s="16"/>
      <c r="N19" s="16" t="s">
        <v>550</v>
      </c>
    </row>
    <row r="20" customFormat="false" ht="45.75" hidden="false" customHeight="true" outlineLevel="0" collapsed="false">
      <c r="A20" s="15" t="s">
        <v>83</v>
      </c>
      <c r="B20" s="15" t="s">
        <v>84</v>
      </c>
      <c r="C20" s="15" t="s">
        <v>626</v>
      </c>
      <c r="D20" s="26" t="s">
        <v>573</v>
      </c>
      <c r="E20" s="15" t="s">
        <v>627</v>
      </c>
      <c r="F20" s="15" t="s">
        <v>628</v>
      </c>
      <c r="G20" s="15" t="s">
        <v>591</v>
      </c>
      <c r="H20" s="15" t="s">
        <v>629</v>
      </c>
      <c r="I20" s="15" t="s">
        <v>630</v>
      </c>
      <c r="J20" s="15" t="n">
        <f aca="false">COUNTIF('SOW Scope Map'!$E$5:$E$104,"*"&amp;A20&amp;"*")</f>
        <v>15</v>
      </c>
      <c r="K20" s="27" t="n">
        <f aca="false">SUMIF('SOW Scope Map'!$E$5:$E$104,"*"&amp;A20&amp;"*",'SOW Scope Map'!$D$5:$D$104)</f>
        <v>92.16</v>
      </c>
      <c r="L20" s="16"/>
      <c r="M20" s="16"/>
      <c r="N20" s="16" t="s">
        <v>550</v>
      </c>
    </row>
    <row r="21" customFormat="false" ht="23.25" hidden="false" customHeight="true" outlineLevel="0" collapsed="false">
      <c r="A21" s="29" t="s">
        <v>87</v>
      </c>
      <c r="B21" s="29" t="s">
        <v>88</v>
      </c>
      <c r="C21" s="29" t="s">
        <v>631</v>
      </c>
      <c r="D21" s="30" t="s">
        <v>574</v>
      </c>
      <c r="E21" s="29" t="s">
        <v>632</v>
      </c>
      <c r="F21" s="29" t="s">
        <v>633</v>
      </c>
      <c r="G21" s="29" t="s">
        <v>597</v>
      </c>
      <c r="H21" s="29" t="s">
        <v>634</v>
      </c>
      <c r="I21" s="29" t="s">
        <v>359</v>
      </c>
      <c r="J21" s="29" t="n">
        <f aca="false">COUNTIF('SOW Scope Map'!$E$5:$E$104,"*"&amp;A21&amp;"*")</f>
        <v>0</v>
      </c>
      <c r="K21" s="31" t="n">
        <f aca="false">SUMIF('SOW Scope Map'!$E$5:$E$104,"*"&amp;A21&amp;"*",'SOW Scope Map'!$D$5:$D$104)</f>
        <v>0</v>
      </c>
      <c r="L21" s="32"/>
      <c r="M21" s="32"/>
      <c r="N21" s="32" t="s">
        <v>635</v>
      </c>
    </row>
    <row r="22" customFormat="false" ht="45.75" hidden="false" customHeight="true" outlineLevel="0" collapsed="false">
      <c r="A22" s="15" t="s">
        <v>91</v>
      </c>
      <c r="B22" s="15" t="s">
        <v>92</v>
      </c>
      <c r="C22" s="15" t="s">
        <v>636</v>
      </c>
      <c r="D22" s="26" t="s">
        <v>573</v>
      </c>
      <c r="E22" s="15" t="s">
        <v>637</v>
      </c>
      <c r="F22" s="15" t="s">
        <v>638</v>
      </c>
      <c r="G22" s="15" t="s">
        <v>591</v>
      </c>
      <c r="H22" s="15" t="s">
        <v>639</v>
      </c>
      <c r="I22" s="15" t="s">
        <v>640</v>
      </c>
      <c r="J22" s="15" t="n">
        <f aca="false">COUNTIF('SOW Scope Map'!$E$5:$E$104,"*"&amp;A22&amp;"*")</f>
        <v>15</v>
      </c>
      <c r="K22" s="27" t="n">
        <f aca="false">SUMIF('SOW Scope Map'!$E$5:$E$104,"*"&amp;A22&amp;"*",'SOW Scope Map'!$D$5:$D$104)</f>
        <v>86.4</v>
      </c>
      <c r="L22" s="16"/>
      <c r="M22" s="16"/>
      <c r="N22" s="16" t="s">
        <v>550</v>
      </c>
    </row>
    <row r="23" customFormat="false" ht="45.75" hidden="false" customHeight="true" outlineLevel="0" collapsed="false">
      <c r="A23" s="15" t="s">
        <v>96</v>
      </c>
      <c r="B23" s="15" t="s">
        <v>97</v>
      </c>
      <c r="C23" s="15" t="s">
        <v>641</v>
      </c>
      <c r="D23" s="26" t="s">
        <v>573</v>
      </c>
      <c r="E23" s="15" t="s">
        <v>642</v>
      </c>
      <c r="F23" s="15" t="s">
        <v>643</v>
      </c>
      <c r="G23" s="15" t="s">
        <v>591</v>
      </c>
      <c r="H23" s="15" t="s">
        <v>644</v>
      </c>
      <c r="I23" s="15" t="s">
        <v>383</v>
      </c>
      <c r="J23" s="15" t="n">
        <f aca="false">COUNTIF('SOW Scope Map'!$E$5:$E$104,"*"&amp;A23&amp;"*")</f>
        <v>1</v>
      </c>
      <c r="K23" s="27" t="n">
        <f aca="false">SUMIF('SOW Scope Map'!$E$5:$E$104,"*"&amp;A23&amp;"*",'SOW Scope Map'!$D$5:$D$104)</f>
        <v>7.2</v>
      </c>
      <c r="L23" s="16"/>
      <c r="M23" s="16"/>
      <c r="N23" s="16" t="s">
        <v>550</v>
      </c>
    </row>
    <row r="24" customFormat="false" ht="45.75" hidden="false" customHeight="true" outlineLevel="0" collapsed="false">
      <c r="A24" s="15" t="s">
        <v>100</v>
      </c>
      <c r="B24" s="15" t="s">
        <v>101</v>
      </c>
      <c r="C24" s="15" t="s">
        <v>645</v>
      </c>
      <c r="D24" s="26" t="s">
        <v>573</v>
      </c>
      <c r="E24" s="15" t="s">
        <v>646</v>
      </c>
      <c r="F24" s="15" t="s">
        <v>647</v>
      </c>
      <c r="G24" s="15" t="s">
        <v>591</v>
      </c>
      <c r="H24" s="15" t="s">
        <v>648</v>
      </c>
      <c r="I24" s="15" t="s">
        <v>649</v>
      </c>
      <c r="J24" s="15" t="n">
        <f aca="false">COUNTIF('SOW Scope Map'!$E$5:$E$104,"*"&amp;A24&amp;"*")</f>
        <v>4</v>
      </c>
      <c r="K24" s="27" t="n">
        <f aca="false">SUMIF('SOW Scope Map'!$E$5:$E$104,"*"&amp;A24&amp;"*",'SOW Scope Map'!$D$5:$D$104)</f>
        <v>28.8</v>
      </c>
      <c r="L24" s="16"/>
      <c r="M24" s="16"/>
      <c r="N24" s="16" t="s">
        <v>550</v>
      </c>
    </row>
    <row r="25" customFormat="false" ht="45.75" hidden="false" customHeight="true" outlineLevel="0" collapsed="false">
      <c r="A25" s="15" t="s">
        <v>104</v>
      </c>
      <c r="B25" s="15" t="s">
        <v>105</v>
      </c>
      <c r="C25" s="15" t="s">
        <v>650</v>
      </c>
      <c r="D25" s="26" t="s">
        <v>573</v>
      </c>
      <c r="E25" s="15" t="s">
        <v>651</v>
      </c>
      <c r="F25" s="15" t="s">
        <v>652</v>
      </c>
      <c r="G25" s="15" t="s">
        <v>591</v>
      </c>
      <c r="H25" s="15" t="s">
        <v>653</v>
      </c>
      <c r="I25" s="15" t="s">
        <v>401</v>
      </c>
      <c r="J25" s="15" t="n">
        <f aca="false">COUNTIF('SOW Scope Map'!$E$5:$E$104,"*"&amp;A25&amp;"*")</f>
        <v>0</v>
      </c>
      <c r="K25" s="27" t="n">
        <f aca="false">SUMIF('SOW Scope Map'!$E$5:$E$104,"*"&amp;A25&amp;"*",'SOW Scope Map'!$D$5:$D$104)</f>
        <v>0</v>
      </c>
      <c r="L25" s="16"/>
      <c r="M25" s="16"/>
      <c r="N25" s="16" t="s">
        <v>550</v>
      </c>
    </row>
    <row r="26" customFormat="false" ht="34.5" hidden="false" customHeight="true" outlineLevel="0" collapsed="false">
      <c r="A26" s="15" t="s">
        <v>109</v>
      </c>
      <c r="B26" s="15" t="s">
        <v>110</v>
      </c>
      <c r="C26" s="15" t="s">
        <v>654</v>
      </c>
      <c r="D26" s="28" t="s">
        <v>572</v>
      </c>
      <c r="E26" s="15" t="s">
        <v>655</v>
      </c>
      <c r="F26" s="15" t="s">
        <v>656</v>
      </c>
      <c r="G26" s="15" t="s">
        <v>597</v>
      </c>
      <c r="H26" s="15" t="s">
        <v>657</v>
      </c>
      <c r="I26" s="15" t="s">
        <v>407</v>
      </c>
      <c r="J26" s="15" t="n">
        <f aca="false">COUNTIF('SOW Scope Map'!$E$5:$E$104,"*"&amp;A26&amp;"*")</f>
        <v>7</v>
      </c>
      <c r="K26" s="27" t="n">
        <f aca="false">SUMIF('SOW Scope Map'!$E$5:$E$104,"*"&amp;A26&amp;"*",'SOW Scope Map'!$D$5:$D$104)</f>
        <v>41.76</v>
      </c>
      <c r="L26" s="16"/>
      <c r="M26" s="16"/>
      <c r="N26" s="16" t="s">
        <v>550</v>
      </c>
    </row>
    <row r="27" customFormat="false" ht="34.5" hidden="false" customHeight="true" outlineLevel="0" collapsed="false">
      <c r="A27" s="15" t="s">
        <v>113</v>
      </c>
      <c r="B27" s="15" t="s">
        <v>114</v>
      </c>
      <c r="C27" s="15" t="s">
        <v>658</v>
      </c>
      <c r="D27" s="28" t="s">
        <v>572</v>
      </c>
      <c r="E27" s="15" t="s">
        <v>659</v>
      </c>
      <c r="F27" s="15" t="s">
        <v>660</v>
      </c>
      <c r="G27" s="15" t="s">
        <v>597</v>
      </c>
      <c r="H27" s="15" t="s">
        <v>661</v>
      </c>
      <c r="I27" s="15" t="s">
        <v>662</v>
      </c>
      <c r="J27" s="15" t="n">
        <f aca="false">COUNTIF('SOW Scope Map'!$E$5:$E$104,"*"&amp;A27&amp;"*")</f>
        <v>4</v>
      </c>
      <c r="K27" s="27" t="n">
        <f aca="false">SUMIF('SOW Scope Map'!$E$5:$E$104,"*"&amp;A27&amp;"*",'SOW Scope Map'!$D$5:$D$104)</f>
        <v>27.36</v>
      </c>
      <c r="L27" s="16"/>
      <c r="M27" s="16"/>
      <c r="N27" s="16" t="s">
        <v>550</v>
      </c>
    </row>
    <row r="28" customFormat="false" ht="23.25" hidden="false" customHeight="true" outlineLevel="0" collapsed="false">
      <c r="A28" s="15" t="s">
        <v>118</v>
      </c>
      <c r="B28" s="15" t="s">
        <v>119</v>
      </c>
      <c r="C28" s="15" t="s">
        <v>663</v>
      </c>
      <c r="D28" s="28" t="s">
        <v>572</v>
      </c>
      <c r="E28" s="15" t="s">
        <v>664</v>
      </c>
      <c r="F28" s="15" t="s">
        <v>665</v>
      </c>
      <c r="G28" s="15" t="s">
        <v>602</v>
      </c>
      <c r="H28" s="15" t="s">
        <v>666</v>
      </c>
      <c r="I28" s="15" t="s">
        <v>425</v>
      </c>
      <c r="J28" s="15" t="n">
        <f aca="false">COUNTIF('SOW Scope Map'!$E$5:$E$104,"*"&amp;A28&amp;"*")</f>
        <v>9</v>
      </c>
      <c r="K28" s="27" t="n">
        <f aca="false">SUMIF('SOW Scope Map'!$E$5:$E$104,"*"&amp;A28&amp;"*",'SOW Scope Map'!$D$5:$D$104)</f>
        <v>61.92</v>
      </c>
      <c r="L28" s="16"/>
      <c r="M28" s="16"/>
      <c r="N28" s="16" t="s">
        <v>550</v>
      </c>
    </row>
    <row r="29" customFormat="false" ht="34.5" hidden="false" customHeight="true" outlineLevel="0" collapsed="false">
      <c r="A29" s="29" t="s">
        <v>121</v>
      </c>
      <c r="B29" s="29" t="s">
        <v>122</v>
      </c>
      <c r="C29" s="29" t="s">
        <v>667</v>
      </c>
      <c r="D29" s="33" t="s">
        <v>573</v>
      </c>
      <c r="E29" s="29" t="s">
        <v>668</v>
      </c>
      <c r="F29" s="29" t="s">
        <v>669</v>
      </c>
      <c r="G29" s="29" t="s">
        <v>597</v>
      </c>
      <c r="H29" s="29" t="s">
        <v>634</v>
      </c>
      <c r="I29" s="29" t="s">
        <v>670</v>
      </c>
      <c r="J29" s="29" t="n">
        <f aca="false">COUNTIF('SOW Scope Map'!$E$5:$E$104,"*"&amp;A29&amp;"*")</f>
        <v>4</v>
      </c>
      <c r="K29" s="31" t="n">
        <f aca="false">SUMIF('SOW Scope Map'!$E$5:$E$104,"*"&amp;A29&amp;"*",'SOW Scope Map'!$D$5:$D$104)</f>
        <v>24.48</v>
      </c>
      <c r="L29" s="32"/>
      <c r="M29" s="32"/>
      <c r="N29" s="32" t="s">
        <v>635</v>
      </c>
    </row>
    <row r="30" customFormat="false" ht="45.75" hidden="false" customHeight="true" outlineLevel="0" collapsed="false">
      <c r="A30" s="15" t="s">
        <v>124</v>
      </c>
      <c r="B30" s="15" t="s">
        <v>125</v>
      </c>
      <c r="C30" s="15" t="s">
        <v>671</v>
      </c>
      <c r="D30" s="26" t="s">
        <v>573</v>
      </c>
      <c r="E30" s="15" t="s">
        <v>672</v>
      </c>
      <c r="F30" s="15" t="s">
        <v>673</v>
      </c>
      <c r="G30" s="15" t="s">
        <v>597</v>
      </c>
      <c r="H30" s="15" t="s">
        <v>674</v>
      </c>
      <c r="I30" s="15" t="s">
        <v>449</v>
      </c>
      <c r="J30" s="15" t="n">
        <f aca="false">COUNTIF('SOW Scope Map'!$E$5:$E$104,"*"&amp;A30&amp;"*")</f>
        <v>2</v>
      </c>
      <c r="K30" s="27" t="n">
        <f aca="false">SUMIF('SOW Scope Map'!$E$5:$E$104,"*"&amp;A30&amp;"*",'SOW Scope Map'!$D$5:$D$104)</f>
        <v>10.08</v>
      </c>
      <c r="L30" s="16"/>
      <c r="M30" s="16"/>
      <c r="N30" s="16" t="s">
        <v>550</v>
      </c>
    </row>
    <row r="31" customFormat="false" ht="34.5" hidden="false" customHeight="true" outlineLevel="0" collapsed="false">
      <c r="A31" s="15" t="s">
        <v>127</v>
      </c>
      <c r="B31" s="15" t="s">
        <v>128</v>
      </c>
      <c r="C31" s="15" t="s">
        <v>675</v>
      </c>
      <c r="D31" s="26" t="s">
        <v>573</v>
      </c>
      <c r="E31" s="15" t="s">
        <v>676</v>
      </c>
      <c r="F31" s="15" t="s">
        <v>677</v>
      </c>
      <c r="G31" s="15" t="s">
        <v>602</v>
      </c>
      <c r="H31" s="15" t="s">
        <v>678</v>
      </c>
      <c r="I31" s="15" t="s">
        <v>455</v>
      </c>
      <c r="J31" s="15" t="n">
        <f aca="false">COUNTIF('SOW Scope Map'!$E$5:$E$104,"*"&amp;A31&amp;"*")</f>
        <v>1</v>
      </c>
      <c r="K31" s="27" t="n">
        <f aca="false">SUMIF('SOW Scope Map'!$E$5:$E$104,"*"&amp;A31&amp;"*",'SOW Scope Map'!$D$5:$D$104)</f>
        <v>4.32</v>
      </c>
      <c r="L31" s="16"/>
      <c r="M31" s="16"/>
      <c r="N31" s="16" t="s">
        <v>550</v>
      </c>
    </row>
    <row r="32" customFormat="false" ht="23.25" hidden="false" customHeight="true" outlineLevel="0" collapsed="false">
      <c r="A32" s="15" t="s">
        <v>131</v>
      </c>
      <c r="B32" s="15" t="s">
        <v>132</v>
      </c>
      <c r="C32" s="15" t="s">
        <v>679</v>
      </c>
      <c r="D32" s="28" t="s">
        <v>572</v>
      </c>
      <c r="E32" s="15" t="s">
        <v>680</v>
      </c>
      <c r="F32" s="15" t="s">
        <v>681</v>
      </c>
      <c r="G32" s="15" t="s">
        <v>602</v>
      </c>
      <c r="H32" s="15" t="s">
        <v>666</v>
      </c>
      <c r="I32" s="15" t="s">
        <v>461</v>
      </c>
      <c r="J32" s="15" t="n">
        <f aca="false">COUNTIF('SOW Scope Map'!$E$5:$E$104,"*"&amp;A32&amp;"*")</f>
        <v>7</v>
      </c>
      <c r="K32" s="27" t="n">
        <f aca="false">SUMIF('SOW Scope Map'!$E$5:$E$104,"*"&amp;A32&amp;"*",'SOW Scope Map'!$D$5:$D$104)</f>
        <v>38.88</v>
      </c>
      <c r="L32" s="16"/>
      <c r="M32" s="16"/>
      <c r="N32" s="16" t="s">
        <v>550</v>
      </c>
    </row>
    <row r="33" customFormat="false" ht="15" hidden="false" customHeight="true" outlineLevel="0" collapsed="false">
      <c r="A33" s="13" t="s">
        <v>682</v>
      </c>
    </row>
    <row r="35" customFormat="false" ht="15" hidden="false" customHeight="true" outlineLevel="0" collapsed="false">
      <c r="A35" s="20" t="s">
        <v>683</v>
      </c>
    </row>
    <row r="36" customFormat="false" ht="23.25" hidden="false" customHeight="true" outlineLevel="0" collapsed="false">
      <c r="A36" s="14" t="s">
        <v>256</v>
      </c>
      <c r="B36" s="14" t="s">
        <v>684</v>
      </c>
      <c r="C36" s="14" t="s">
        <v>685</v>
      </c>
      <c r="D36" s="14" t="s">
        <v>579</v>
      </c>
      <c r="E36" s="14" t="s">
        <v>686</v>
      </c>
      <c r="F36" s="14" t="s">
        <v>583</v>
      </c>
      <c r="G36" s="14" t="s">
        <v>582</v>
      </c>
      <c r="H36" s="14" t="s">
        <v>587</v>
      </c>
      <c r="I36" s="14" t="s">
        <v>528</v>
      </c>
      <c r="J36" s="14" t="s">
        <v>547</v>
      </c>
    </row>
    <row r="37" customFormat="false" ht="34.5" hidden="false" customHeight="true" outlineLevel="0" collapsed="false">
      <c r="A37" s="15" t="s">
        <v>687</v>
      </c>
      <c r="B37" s="15" t="s">
        <v>688</v>
      </c>
      <c r="C37" s="15" t="s">
        <v>689</v>
      </c>
      <c r="D37" s="34" t="s">
        <v>574</v>
      </c>
      <c r="E37" s="15" t="s">
        <v>690</v>
      </c>
      <c r="F37" s="15" t="s">
        <v>691</v>
      </c>
      <c r="G37" s="15" t="s">
        <v>591</v>
      </c>
      <c r="H37" s="16"/>
      <c r="I37" s="16"/>
      <c r="J37" s="16" t="s">
        <v>550</v>
      </c>
    </row>
    <row r="38" customFormat="false" ht="45.75" hidden="false" customHeight="true" outlineLevel="0" collapsed="false">
      <c r="A38" s="15" t="s">
        <v>692</v>
      </c>
      <c r="B38" s="15" t="s">
        <v>693</v>
      </c>
      <c r="C38" s="15" t="s">
        <v>694</v>
      </c>
      <c r="D38" s="26" t="s">
        <v>573</v>
      </c>
      <c r="E38" s="15" t="s">
        <v>695</v>
      </c>
      <c r="F38" s="15" t="s">
        <v>696</v>
      </c>
      <c r="G38" s="15" t="s">
        <v>591</v>
      </c>
      <c r="H38" s="16"/>
      <c r="I38" s="16"/>
      <c r="J38" s="16" t="s">
        <v>550</v>
      </c>
    </row>
    <row r="39" customFormat="false" ht="45.75" hidden="false" customHeight="true" outlineLevel="0" collapsed="false">
      <c r="A39" s="15" t="s">
        <v>697</v>
      </c>
      <c r="B39" s="15" t="s">
        <v>698</v>
      </c>
      <c r="C39" s="15" t="s">
        <v>699</v>
      </c>
      <c r="D39" s="26" t="s">
        <v>573</v>
      </c>
      <c r="E39" s="15" t="s">
        <v>700</v>
      </c>
      <c r="F39" s="15" t="s">
        <v>701</v>
      </c>
      <c r="G39" s="15" t="s">
        <v>591</v>
      </c>
      <c r="H39" s="16"/>
      <c r="I39" s="16"/>
      <c r="J39" s="16" t="s">
        <v>550</v>
      </c>
    </row>
    <row r="40" customFormat="false" ht="34.5" hidden="false" customHeight="true" outlineLevel="0" collapsed="false">
      <c r="A40" s="15" t="s">
        <v>702</v>
      </c>
      <c r="B40" s="15" t="s">
        <v>703</v>
      </c>
      <c r="C40" s="15" t="s">
        <v>704</v>
      </c>
      <c r="D40" s="26" t="s">
        <v>573</v>
      </c>
      <c r="E40" s="15" t="s">
        <v>705</v>
      </c>
      <c r="F40" s="15" t="s">
        <v>706</v>
      </c>
      <c r="G40" s="15" t="s">
        <v>591</v>
      </c>
      <c r="H40" s="16"/>
      <c r="I40" s="16"/>
      <c r="J40" s="16" t="s">
        <v>550</v>
      </c>
    </row>
    <row r="41" customFormat="false" ht="34.5" hidden="false" customHeight="true" outlineLevel="0" collapsed="false">
      <c r="A41" s="15" t="s">
        <v>707</v>
      </c>
      <c r="B41" s="15" t="s">
        <v>708</v>
      </c>
      <c r="C41" s="15" t="s">
        <v>709</v>
      </c>
      <c r="D41" s="34" t="s">
        <v>574</v>
      </c>
      <c r="E41" s="15" t="s">
        <v>710</v>
      </c>
      <c r="F41" s="15" t="s">
        <v>711</v>
      </c>
      <c r="G41" s="15" t="s">
        <v>597</v>
      </c>
      <c r="H41" s="16"/>
      <c r="I41" s="16"/>
      <c r="J41" s="16" t="s">
        <v>550</v>
      </c>
    </row>
    <row r="42" customFormat="false" ht="34.5" hidden="false" customHeight="true" outlineLevel="0" collapsed="false">
      <c r="A42" s="15" t="s">
        <v>712</v>
      </c>
      <c r="B42" s="15" t="s">
        <v>713</v>
      </c>
      <c r="C42" s="15" t="s">
        <v>714</v>
      </c>
      <c r="D42" s="26" t="s">
        <v>573</v>
      </c>
      <c r="E42" s="15" t="s">
        <v>715</v>
      </c>
      <c r="F42" s="15" t="s">
        <v>716</v>
      </c>
      <c r="G42" s="15" t="s">
        <v>597</v>
      </c>
      <c r="H42" s="16"/>
      <c r="I42" s="16"/>
      <c r="J42" s="16" t="s">
        <v>550</v>
      </c>
    </row>
    <row r="44" customFormat="false" ht="15" hidden="false" customHeight="true" outlineLevel="0" collapsed="false">
      <c r="A44" s="20" t="s">
        <v>717</v>
      </c>
    </row>
    <row r="45" customFormat="false" ht="34.5" hidden="false" customHeight="true" outlineLevel="0" collapsed="false">
      <c r="A45" s="14" t="s">
        <v>543</v>
      </c>
      <c r="B45" s="14" t="s">
        <v>718</v>
      </c>
      <c r="C45" s="14" t="s">
        <v>719</v>
      </c>
      <c r="D45" s="14" t="s">
        <v>720</v>
      </c>
    </row>
    <row r="46" customFormat="false" ht="45.75" hidden="false" customHeight="true" outlineLevel="0" collapsed="false">
      <c r="A46" s="15" t="s">
        <v>721</v>
      </c>
      <c r="B46" s="15" t="s">
        <v>722</v>
      </c>
      <c r="C46" s="15" t="s">
        <v>723</v>
      </c>
      <c r="D46" s="15" t="s">
        <v>724</v>
      </c>
    </row>
    <row r="47" customFormat="false" ht="34.5" hidden="false" customHeight="true" outlineLevel="0" collapsed="false">
      <c r="A47" s="15" t="s">
        <v>725</v>
      </c>
      <c r="B47" s="15" t="s">
        <v>726</v>
      </c>
      <c r="C47" s="15" t="s">
        <v>727</v>
      </c>
      <c r="D47" s="15" t="s">
        <v>728</v>
      </c>
    </row>
    <row r="48" customFormat="false" ht="45.75" hidden="false" customHeight="true" outlineLevel="0" collapsed="false">
      <c r="A48" s="15" t="s">
        <v>729</v>
      </c>
      <c r="B48" s="15" t="s">
        <v>730</v>
      </c>
      <c r="C48" s="15" t="s">
        <v>731</v>
      </c>
      <c r="D48" s="15" t="s">
        <v>732</v>
      </c>
    </row>
    <row r="49" customFormat="false" ht="34.5" hidden="false" customHeight="true" outlineLevel="0" collapsed="false">
      <c r="A49" s="15" t="s">
        <v>733</v>
      </c>
      <c r="B49" s="15" t="s">
        <v>734</v>
      </c>
      <c r="C49" s="15" t="s">
        <v>735</v>
      </c>
      <c r="D49" s="15" t="s">
        <v>736</v>
      </c>
    </row>
    <row r="50" customFormat="false" ht="45.75" hidden="false" customHeight="true" outlineLevel="0" collapsed="false">
      <c r="A50" s="15" t="s">
        <v>737</v>
      </c>
      <c r="B50" s="15" t="s">
        <v>738</v>
      </c>
      <c r="C50" s="15" t="s">
        <v>739</v>
      </c>
      <c r="D50" s="15" t="s">
        <v>740</v>
      </c>
    </row>
    <row r="51" customFormat="false" ht="34.5" hidden="false" customHeight="true" outlineLevel="0" collapsed="false">
      <c r="A51" s="15" t="s">
        <v>741</v>
      </c>
      <c r="B51" s="15" t="s">
        <v>742</v>
      </c>
      <c r="C51" s="15" t="s">
        <v>525</v>
      </c>
      <c r="D51" s="15" t="s">
        <v>743</v>
      </c>
    </row>
    <row r="52" customFormat="false" ht="34.5" hidden="false" customHeight="true" outlineLevel="0" collapsed="false">
      <c r="A52" s="15" t="s">
        <v>744</v>
      </c>
      <c r="B52" s="15" t="s">
        <v>745</v>
      </c>
      <c r="C52" s="15" t="s">
        <v>51</v>
      </c>
      <c r="D52" s="15" t="s">
        <v>746</v>
      </c>
    </row>
    <row r="53" customFormat="false" ht="23.25" hidden="false" customHeight="true" outlineLevel="0" collapsed="false">
      <c r="A53" s="15" t="s">
        <v>747</v>
      </c>
      <c r="B53" s="15" t="s">
        <v>748</v>
      </c>
      <c r="C53" s="15" t="s">
        <v>749</v>
      </c>
      <c r="D53" s="15" t="s">
        <v>750</v>
      </c>
    </row>
  </sheetData>
  <dataValidations count="3">
    <dataValidation allowBlank="false" errorStyle="stop" operator="between" showDropDown="false" showErrorMessage="false" showInputMessage="false" sqref="D12:D32" type="list">
      <formula1>"Covered,Partial,Not covered"</formula1>
      <formula2>0</formula2>
    </dataValidation>
    <dataValidation allowBlank="false" errorStyle="stop" operator="between" showDropDown="false" showErrorMessage="false" showInputMessage="false" sqref="N12:N32 J37:J42" type="list">
      <formula1>"Open,Raised with vendor,Agreed in scope,Change request,Accepted gap,Deferred (next phase),Closed"</formula1>
      <formula2>0</formula2>
    </dataValidation>
    <dataValidation allowBlank="false" errorStyle="stop" operator="between" showDropDown="false" showErrorMessage="false" showInputMessage="false" sqref="G12:G32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2"/>
    <col collapsed="false" customWidth="true" hidden="false" outlineLevel="0" max="3" min="3" style="1" width="40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17" t="s">
        <v>751</v>
      </c>
    </row>
    <row r="2" customFormat="false" ht="15" hidden="false" customHeight="true" outlineLevel="0" collapsed="false">
      <c r="A2" s="18" t="s">
        <v>752</v>
      </c>
    </row>
    <row r="4" customFormat="false" ht="23.25" hidden="false" customHeight="true" outlineLevel="0" collapsed="false">
      <c r="A4" s="14" t="s">
        <v>543</v>
      </c>
      <c r="B4" s="14" t="s">
        <v>753</v>
      </c>
      <c r="C4" s="14" t="s">
        <v>754</v>
      </c>
      <c r="D4" s="14" t="s">
        <v>755</v>
      </c>
      <c r="E4" s="14" t="s">
        <v>719</v>
      </c>
      <c r="F4" s="14" t="s">
        <v>756</v>
      </c>
    </row>
    <row r="5" customFormat="false" ht="15" hidden="false" customHeight="true" outlineLevel="0" collapsed="false">
      <c r="A5" s="15" t="n">
        <v>1</v>
      </c>
      <c r="B5" s="15" t="s">
        <v>757</v>
      </c>
      <c r="C5" s="15" t="s">
        <v>758</v>
      </c>
      <c r="D5" s="35" t="n">
        <v>4.32</v>
      </c>
      <c r="E5" s="15" t="s">
        <v>59</v>
      </c>
      <c r="F5" s="15" t="s">
        <v>60</v>
      </c>
    </row>
    <row r="6" customFormat="false" ht="15" hidden="false" customHeight="true" outlineLevel="0" collapsed="false">
      <c r="A6" s="15" t="n">
        <v>2</v>
      </c>
      <c r="B6" s="15" t="s">
        <v>757</v>
      </c>
      <c r="C6" s="15" t="s">
        <v>759</v>
      </c>
      <c r="D6" s="35" t="n">
        <v>5.76</v>
      </c>
      <c r="E6" s="15" t="s">
        <v>59</v>
      </c>
      <c r="F6" s="15" t="s">
        <v>60</v>
      </c>
    </row>
    <row r="7" customFormat="false" ht="15" hidden="false" customHeight="true" outlineLevel="0" collapsed="false">
      <c r="A7" s="15" t="n">
        <v>3</v>
      </c>
      <c r="B7" s="15" t="s">
        <v>757</v>
      </c>
      <c r="C7" s="15" t="s">
        <v>760</v>
      </c>
      <c r="D7" s="35" t="n">
        <v>2.88</v>
      </c>
      <c r="E7" s="15" t="s">
        <v>59</v>
      </c>
      <c r="F7" s="15" t="s">
        <v>60</v>
      </c>
    </row>
    <row r="8" customFormat="false" ht="15" hidden="false" customHeight="true" outlineLevel="0" collapsed="false">
      <c r="A8" s="15" t="n">
        <v>4</v>
      </c>
      <c r="B8" s="15" t="s">
        <v>757</v>
      </c>
      <c r="C8" s="15" t="s">
        <v>761</v>
      </c>
      <c r="D8" s="35" t="n">
        <v>2.88</v>
      </c>
      <c r="E8" s="15" t="s">
        <v>59</v>
      </c>
      <c r="F8" s="15" t="s">
        <v>60</v>
      </c>
    </row>
    <row r="9" customFormat="false" ht="15" hidden="false" customHeight="true" outlineLevel="0" collapsed="false">
      <c r="A9" s="15" t="n">
        <v>5</v>
      </c>
      <c r="B9" s="15" t="s">
        <v>757</v>
      </c>
      <c r="C9" s="15" t="s">
        <v>762</v>
      </c>
      <c r="D9" s="35" t="n">
        <v>5.76</v>
      </c>
      <c r="E9" s="15" t="s">
        <v>74</v>
      </c>
      <c r="F9" s="15" t="s">
        <v>75</v>
      </c>
    </row>
    <row r="10" customFormat="false" ht="15" hidden="false" customHeight="true" outlineLevel="0" collapsed="false">
      <c r="A10" s="15" t="n">
        <v>6</v>
      </c>
      <c r="B10" s="15" t="s">
        <v>757</v>
      </c>
      <c r="C10" s="15" t="s">
        <v>763</v>
      </c>
      <c r="D10" s="35" t="n">
        <v>4.32</v>
      </c>
      <c r="E10" s="15" t="s">
        <v>65</v>
      </c>
      <c r="F10" s="15" t="s">
        <v>66</v>
      </c>
    </row>
    <row r="11" customFormat="false" ht="15" hidden="false" customHeight="true" outlineLevel="0" collapsed="false">
      <c r="A11" s="15" t="n">
        <v>7</v>
      </c>
      <c r="B11" s="15" t="s">
        <v>764</v>
      </c>
      <c r="C11" s="15" t="s">
        <v>765</v>
      </c>
      <c r="D11" s="35" t="n">
        <v>5.76</v>
      </c>
      <c r="E11" s="15" t="s">
        <v>735</v>
      </c>
      <c r="F11" s="15" t="s">
        <v>766</v>
      </c>
    </row>
    <row r="12" customFormat="false" ht="15" hidden="false" customHeight="true" outlineLevel="0" collapsed="false">
      <c r="A12" s="15" t="n">
        <v>8</v>
      </c>
      <c r="B12" s="15" t="s">
        <v>764</v>
      </c>
      <c r="C12" s="15" t="s">
        <v>767</v>
      </c>
      <c r="D12" s="35" t="n">
        <v>4.32</v>
      </c>
      <c r="E12" s="15" t="s">
        <v>65</v>
      </c>
      <c r="F12" s="15" t="s">
        <v>66</v>
      </c>
    </row>
    <row r="13" customFormat="false" ht="15" hidden="false" customHeight="true" outlineLevel="0" collapsed="false">
      <c r="A13" s="15" t="n">
        <v>9</v>
      </c>
      <c r="B13" s="15" t="s">
        <v>768</v>
      </c>
      <c r="C13" s="15" t="s">
        <v>769</v>
      </c>
      <c r="D13" s="35" t="n">
        <v>4.32</v>
      </c>
      <c r="E13" s="15" t="s">
        <v>65</v>
      </c>
      <c r="F13" s="15" t="s">
        <v>66</v>
      </c>
    </row>
    <row r="14" customFormat="false" ht="15" hidden="false" customHeight="true" outlineLevel="0" collapsed="false">
      <c r="A14" s="15" t="n">
        <v>10</v>
      </c>
      <c r="B14" s="15" t="s">
        <v>768</v>
      </c>
      <c r="C14" s="15" t="s">
        <v>770</v>
      </c>
      <c r="D14" s="35" t="n">
        <v>4.32</v>
      </c>
      <c r="E14" s="15" t="s">
        <v>65</v>
      </c>
      <c r="F14" s="15" t="s">
        <v>66</v>
      </c>
    </row>
    <row r="15" customFormat="false" ht="15" hidden="false" customHeight="true" outlineLevel="0" collapsed="false">
      <c r="A15" s="15" t="n">
        <v>11</v>
      </c>
      <c r="B15" s="15" t="s">
        <v>768</v>
      </c>
      <c r="C15" s="15" t="s">
        <v>771</v>
      </c>
      <c r="D15" s="35" t="n">
        <v>4.32</v>
      </c>
      <c r="E15" s="15" t="s">
        <v>65</v>
      </c>
      <c r="F15" s="15" t="s">
        <v>66</v>
      </c>
    </row>
    <row r="16" customFormat="false" ht="15" hidden="false" customHeight="true" outlineLevel="0" collapsed="false">
      <c r="A16" s="15" t="n">
        <v>12</v>
      </c>
      <c r="B16" s="15" t="s">
        <v>768</v>
      </c>
      <c r="C16" s="15" t="s">
        <v>772</v>
      </c>
      <c r="D16" s="35" t="n">
        <v>5.76</v>
      </c>
      <c r="E16" s="15" t="s">
        <v>59</v>
      </c>
      <c r="F16" s="15" t="s">
        <v>60</v>
      </c>
    </row>
    <row r="17" customFormat="false" ht="15" hidden="false" customHeight="true" outlineLevel="0" collapsed="false">
      <c r="A17" s="15" t="n">
        <v>13</v>
      </c>
      <c r="B17" s="15" t="s">
        <v>768</v>
      </c>
      <c r="C17" s="15" t="s">
        <v>773</v>
      </c>
      <c r="D17" s="35" t="n">
        <v>4.32</v>
      </c>
      <c r="E17" s="15" t="s">
        <v>65</v>
      </c>
      <c r="F17" s="15" t="s">
        <v>66</v>
      </c>
    </row>
    <row r="18" customFormat="false" ht="15" hidden="false" customHeight="true" outlineLevel="0" collapsed="false">
      <c r="A18" s="15" t="n">
        <v>14</v>
      </c>
      <c r="B18" s="15" t="s">
        <v>768</v>
      </c>
      <c r="C18" s="15" t="s">
        <v>774</v>
      </c>
      <c r="D18" s="35" t="n">
        <v>4.32</v>
      </c>
      <c r="E18" s="15" t="s">
        <v>65</v>
      </c>
      <c r="F18" s="15" t="s">
        <v>66</v>
      </c>
    </row>
    <row r="19" customFormat="false" ht="15" hidden="false" customHeight="true" outlineLevel="0" collapsed="false">
      <c r="A19" s="15" t="n">
        <v>15</v>
      </c>
      <c r="B19" s="15" t="s">
        <v>768</v>
      </c>
      <c r="C19" s="15" t="s">
        <v>775</v>
      </c>
      <c r="D19" s="35" t="n">
        <v>4.32</v>
      </c>
      <c r="E19" s="15" t="s">
        <v>65</v>
      </c>
      <c r="F19" s="15" t="s">
        <v>66</v>
      </c>
    </row>
    <row r="20" customFormat="false" ht="15" hidden="false" customHeight="true" outlineLevel="0" collapsed="false">
      <c r="A20" s="15" t="n">
        <v>16</v>
      </c>
      <c r="B20" s="15" t="s">
        <v>776</v>
      </c>
      <c r="C20" s="15" t="s">
        <v>777</v>
      </c>
      <c r="D20" s="35" t="n">
        <v>5.76</v>
      </c>
      <c r="E20" s="15" t="s">
        <v>778</v>
      </c>
      <c r="F20" s="15" t="s">
        <v>779</v>
      </c>
    </row>
    <row r="21" customFormat="false" ht="15" hidden="false" customHeight="true" outlineLevel="0" collapsed="false">
      <c r="A21" s="15" t="n">
        <v>17</v>
      </c>
      <c r="B21" s="15" t="s">
        <v>776</v>
      </c>
      <c r="C21" s="15" t="s">
        <v>780</v>
      </c>
      <c r="D21" s="35" t="n">
        <v>4.32</v>
      </c>
      <c r="E21" s="15" t="s">
        <v>59</v>
      </c>
      <c r="F21" s="15" t="s">
        <v>60</v>
      </c>
    </row>
    <row r="22" customFormat="false" ht="15" hidden="false" customHeight="true" outlineLevel="0" collapsed="false">
      <c r="A22" s="15" t="n">
        <v>18</v>
      </c>
      <c r="B22" s="15" t="s">
        <v>776</v>
      </c>
      <c r="C22" s="15" t="s">
        <v>781</v>
      </c>
      <c r="D22" s="35" t="n">
        <v>4.32</v>
      </c>
      <c r="E22" s="15" t="s">
        <v>59</v>
      </c>
      <c r="F22" s="15" t="s">
        <v>60</v>
      </c>
    </row>
    <row r="23" customFormat="false" ht="15" hidden="false" customHeight="true" outlineLevel="0" collapsed="false">
      <c r="A23" s="15" t="n">
        <v>19</v>
      </c>
      <c r="B23" s="15" t="s">
        <v>776</v>
      </c>
      <c r="C23" s="15" t="s">
        <v>782</v>
      </c>
      <c r="D23" s="35" t="n">
        <v>4.32</v>
      </c>
      <c r="E23" s="15" t="s">
        <v>59</v>
      </c>
      <c r="F23" s="15" t="s">
        <v>60</v>
      </c>
    </row>
    <row r="24" customFormat="false" ht="15" hidden="false" customHeight="true" outlineLevel="0" collapsed="false">
      <c r="A24" s="15" t="n">
        <v>20</v>
      </c>
      <c r="B24" s="15" t="s">
        <v>776</v>
      </c>
      <c r="C24" s="15" t="s">
        <v>783</v>
      </c>
      <c r="D24" s="35" t="n">
        <v>7.2</v>
      </c>
      <c r="E24" s="15" t="s">
        <v>59</v>
      </c>
      <c r="F24" s="15" t="s">
        <v>60</v>
      </c>
    </row>
    <row r="25" customFormat="false" ht="15" hidden="false" customHeight="true" outlineLevel="0" collapsed="false">
      <c r="A25" s="15" t="n">
        <v>21</v>
      </c>
      <c r="B25" s="15" t="s">
        <v>776</v>
      </c>
      <c r="C25" s="15" t="s">
        <v>784</v>
      </c>
      <c r="D25" s="35" t="n">
        <v>5.76</v>
      </c>
      <c r="E25" s="15" t="s">
        <v>59</v>
      </c>
      <c r="F25" s="15" t="s">
        <v>60</v>
      </c>
    </row>
    <row r="26" customFormat="false" ht="15" hidden="false" customHeight="true" outlineLevel="0" collapsed="false">
      <c r="A26" s="15" t="n">
        <v>22</v>
      </c>
      <c r="B26" s="15" t="s">
        <v>776</v>
      </c>
      <c r="C26" s="15" t="s">
        <v>785</v>
      </c>
      <c r="D26" s="35" t="n">
        <v>7.2</v>
      </c>
      <c r="E26" s="15" t="s">
        <v>59</v>
      </c>
      <c r="F26" s="15" t="s">
        <v>60</v>
      </c>
    </row>
    <row r="27" customFormat="false" ht="15" hidden="false" customHeight="true" outlineLevel="0" collapsed="false">
      <c r="A27" s="15" t="n">
        <v>23</v>
      </c>
      <c r="B27" s="15" t="s">
        <v>786</v>
      </c>
      <c r="C27" s="15" t="s">
        <v>787</v>
      </c>
      <c r="D27" s="35" t="n">
        <v>8.64</v>
      </c>
      <c r="E27" s="15" t="s">
        <v>59</v>
      </c>
      <c r="F27" s="15" t="s">
        <v>60</v>
      </c>
    </row>
    <row r="28" customFormat="false" ht="15" hidden="false" customHeight="true" outlineLevel="0" collapsed="false">
      <c r="A28" s="15" t="n">
        <v>24</v>
      </c>
      <c r="B28" s="15" t="s">
        <v>786</v>
      </c>
      <c r="C28" s="15" t="s">
        <v>788</v>
      </c>
      <c r="D28" s="35" t="n">
        <v>8.64</v>
      </c>
      <c r="E28" s="15" t="s">
        <v>59</v>
      </c>
      <c r="F28" s="15" t="s">
        <v>60</v>
      </c>
    </row>
    <row r="29" customFormat="false" ht="15" hidden="false" customHeight="true" outlineLevel="0" collapsed="false">
      <c r="A29" s="15" t="n">
        <v>25</v>
      </c>
      <c r="B29" s="15" t="s">
        <v>786</v>
      </c>
      <c r="C29" s="15" t="s">
        <v>789</v>
      </c>
      <c r="D29" s="35" t="n">
        <v>8.64</v>
      </c>
      <c r="E29" s="15" t="s">
        <v>59</v>
      </c>
      <c r="F29" s="15" t="s">
        <v>60</v>
      </c>
    </row>
    <row r="30" customFormat="false" ht="15" hidden="false" customHeight="true" outlineLevel="0" collapsed="false">
      <c r="A30" s="15" t="n">
        <v>26</v>
      </c>
      <c r="B30" s="15" t="s">
        <v>786</v>
      </c>
      <c r="C30" s="15" t="s">
        <v>790</v>
      </c>
      <c r="D30" s="35" t="n">
        <v>7.2</v>
      </c>
      <c r="E30" s="15" t="s">
        <v>59</v>
      </c>
      <c r="F30" s="15" t="s">
        <v>60</v>
      </c>
    </row>
    <row r="31" customFormat="false" ht="15" hidden="false" customHeight="true" outlineLevel="0" collapsed="false">
      <c r="A31" s="15" t="n">
        <v>27</v>
      </c>
      <c r="B31" s="15" t="s">
        <v>791</v>
      </c>
      <c r="C31" s="15" t="s">
        <v>792</v>
      </c>
      <c r="D31" s="35" t="n">
        <v>4.32</v>
      </c>
      <c r="E31" s="15" t="s">
        <v>793</v>
      </c>
      <c r="F31" s="15" t="s">
        <v>794</v>
      </c>
    </row>
    <row r="32" customFormat="false" ht="15" hidden="false" customHeight="true" outlineLevel="0" collapsed="false">
      <c r="A32" s="15" t="n">
        <v>28</v>
      </c>
      <c r="B32" s="15" t="s">
        <v>791</v>
      </c>
      <c r="C32" s="15" t="s">
        <v>795</v>
      </c>
      <c r="D32" s="35" t="n">
        <v>4.32</v>
      </c>
      <c r="E32" s="15" t="s">
        <v>74</v>
      </c>
      <c r="F32" s="15" t="s">
        <v>75</v>
      </c>
    </row>
    <row r="33" customFormat="false" ht="15" hidden="false" customHeight="true" outlineLevel="0" collapsed="false">
      <c r="A33" s="15" t="n">
        <v>29</v>
      </c>
      <c r="B33" s="15" t="s">
        <v>791</v>
      </c>
      <c r="C33" s="15" t="s">
        <v>796</v>
      </c>
      <c r="D33" s="35" t="n">
        <v>5.76</v>
      </c>
      <c r="E33" s="15" t="s">
        <v>797</v>
      </c>
      <c r="F33" s="15" t="s">
        <v>798</v>
      </c>
    </row>
    <row r="34" customFormat="false" ht="15" hidden="false" customHeight="true" outlineLevel="0" collapsed="false">
      <c r="A34" s="15" t="n">
        <v>30</v>
      </c>
      <c r="B34" s="15" t="s">
        <v>791</v>
      </c>
      <c r="C34" s="15" t="s">
        <v>799</v>
      </c>
      <c r="D34" s="35" t="n">
        <v>7.2</v>
      </c>
      <c r="E34" s="15" t="s">
        <v>800</v>
      </c>
      <c r="F34" s="15" t="s">
        <v>801</v>
      </c>
    </row>
    <row r="35" customFormat="false" ht="15" hidden="false" customHeight="true" outlineLevel="0" collapsed="false">
      <c r="A35" s="15" t="n">
        <v>31</v>
      </c>
      <c r="B35" s="15" t="s">
        <v>802</v>
      </c>
      <c r="C35" s="15" t="s">
        <v>803</v>
      </c>
      <c r="D35" s="35" t="n">
        <v>7.2</v>
      </c>
      <c r="E35" s="15" t="s">
        <v>83</v>
      </c>
      <c r="F35" s="15" t="s">
        <v>84</v>
      </c>
    </row>
    <row r="36" customFormat="false" ht="15" hidden="false" customHeight="true" outlineLevel="0" collapsed="false">
      <c r="A36" s="15" t="n">
        <v>32</v>
      </c>
      <c r="B36" s="15" t="s">
        <v>802</v>
      </c>
      <c r="C36" s="15" t="s">
        <v>804</v>
      </c>
      <c r="D36" s="35" t="n">
        <v>7.2</v>
      </c>
      <c r="E36" s="15" t="s">
        <v>83</v>
      </c>
      <c r="F36" s="15" t="s">
        <v>84</v>
      </c>
    </row>
    <row r="37" customFormat="false" ht="15" hidden="false" customHeight="true" outlineLevel="0" collapsed="false">
      <c r="A37" s="15" t="n">
        <v>33</v>
      </c>
      <c r="B37" s="15" t="s">
        <v>802</v>
      </c>
      <c r="C37" s="15" t="s">
        <v>805</v>
      </c>
      <c r="D37" s="35" t="n">
        <v>7.2</v>
      </c>
      <c r="E37" s="15" t="s">
        <v>83</v>
      </c>
      <c r="F37" s="15" t="s">
        <v>84</v>
      </c>
    </row>
    <row r="38" customFormat="false" ht="23.25" hidden="false" customHeight="true" outlineLevel="0" collapsed="false">
      <c r="A38" s="15" t="n">
        <v>34</v>
      </c>
      <c r="B38" s="15" t="s">
        <v>802</v>
      </c>
      <c r="C38" s="15" t="s">
        <v>806</v>
      </c>
      <c r="D38" s="35" t="n">
        <v>7.2</v>
      </c>
      <c r="E38" s="15" t="s">
        <v>749</v>
      </c>
      <c r="F38" s="15" t="s">
        <v>807</v>
      </c>
    </row>
    <row r="39" customFormat="false" ht="15" hidden="false" customHeight="true" outlineLevel="0" collapsed="false">
      <c r="A39" s="15" t="n">
        <v>35</v>
      </c>
      <c r="B39" s="15" t="s">
        <v>802</v>
      </c>
      <c r="C39" s="15" t="s">
        <v>808</v>
      </c>
      <c r="D39" s="35" t="n">
        <v>7.2</v>
      </c>
      <c r="E39" s="15" t="s">
        <v>83</v>
      </c>
      <c r="F39" s="15" t="s">
        <v>84</v>
      </c>
    </row>
    <row r="40" customFormat="false" ht="15" hidden="false" customHeight="true" outlineLevel="0" collapsed="false">
      <c r="A40" s="15" t="n">
        <v>36</v>
      </c>
      <c r="B40" s="15" t="s">
        <v>802</v>
      </c>
      <c r="C40" s="15" t="s">
        <v>809</v>
      </c>
      <c r="D40" s="35" t="n">
        <v>7.2</v>
      </c>
      <c r="E40" s="15" t="s">
        <v>810</v>
      </c>
      <c r="F40" s="15" t="s">
        <v>811</v>
      </c>
    </row>
    <row r="41" customFormat="false" ht="15" hidden="false" customHeight="true" outlineLevel="0" collapsed="false">
      <c r="A41" s="15" t="n">
        <v>37</v>
      </c>
      <c r="B41" s="15" t="s">
        <v>802</v>
      </c>
      <c r="C41" s="15" t="s">
        <v>812</v>
      </c>
      <c r="D41" s="35" t="n">
        <v>5.76</v>
      </c>
      <c r="E41" s="15" t="s">
        <v>813</v>
      </c>
      <c r="F41" s="15" t="s">
        <v>814</v>
      </c>
    </row>
    <row r="42" customFormat="false" ht="15" hidden="false" customHeight="true" outlineLevel="0" collapsed="false">
      <c r="A42" s="15" t="n">
        <v>38</v>
      </c>
      <c r="B42" s="15" t="s">
        <v>802</v>
      </c>
      <c r="C42" s="15" t="s">
        <v>815</v>
      </c>
      <c r="D42" s="35" t="n">
        <v>5.76</v>
      </c>
      <c r="E42" s="15" t="s">
        <v>83</v>
      </c>
      <c r="F42" s="15" t="s">
        <v>84</v>
      </c>
    </row>
    <row r="43" customFormat="false" ht="34.5" hidden="false" customHeight="true" outlineLevel="0" collapsed="false">
      <c r="A43" s="15" t="n">
        <v>39</v>
      </c>
      <c r="B43" s="15" t="s">
        <v>802</v>
      </c>
      <c r="C43" s="15" t="s">
        <v>816</v>
      </c>
      <c r="D43" s="35" t="n">
        <v>8.64</v>
      </c>
      <c r="E43" s="15" t="s">
        <v>499</v>
      </c>
      <c r="F43" s="15" t="s">
        <v>817</v>
      </c>
    </row>
    <row r="44" customFormat="false" ht="15" hidden="false" customHeight="true" outlineLevel="0" collapsed="false">
      <c r="A44" s="15" t="n">
        <v>40</v>
      </c>
      <c r="B44" s="15" t="s">
        <v>818</v>
      </c>
      <c r="C44" s="15" t="s">
        <v>819</v>
      </c>
      <c r="D44" s="35" t="n">
        <v>4.32</v>
      </c>
      <c r="E44" s="15" t="s">
        <v>78</v>
      </c>
      <c r="F44" s="15" t="s">
        <v>79</v>
      </c>
    </row>
    <row r="45" customFormat="false" ht="15" hidden="false" customHeight="true" outlineLevel="0" collapsed="false">
      <c r="A45" s="15" t="n">
        <v>41</v>
      </c>
      <c r="B45" s="15" t="s">
        <v>818</v>
      </c>
      <c r="C45" s="15" t="s">
        <v>820</v>
      </c>
      <c r="D45" s="35" t="n">
        <v>8.64</v>
      </c>
      <c r="E45" s="15" t="s">
        <v>118</v>
      </c>
      <c r="F45" s="15" t="s">
        <v>119</v>
      </c>
    </row>
    <row r="46" customFormat="false" ht="15" hidden="false" customHeight="true" outlineLevel="0" collapsed="false">
      <c r="A46" s="15" t="n">
        <v>42</v>
      </c>
      <c r="B46" s="15" t="s">
        <v>818</v>
      </c>
      <c r="C46" s="15" t="s">
        <v>821</v>
      </c>
      <c r="D46" s="35" t="n">
        <v>4.32</v>
      </c>
      <c r="E46" s="15" t="s">
        <v>118</v>
      </c>
      <c r="F46" s="15" t="s">
        <v>119</v>
      </c>
    </row>
    <row r="47" customFormat="false" ht="15" hidden="false" customHeight="true" outlineLevel="0" collapsed="false">
      <c r="A47" s="15" t="n">
        <v>43</v>
      </c>
      <c r="B47" s="15" t="s">
        <v>818</v>
      </c>
      <c r="C47" s="15" t="s">
        <v>822</v>
      </c>
      <c r="D47" s="35" t="n">
        <v>11.52</v>
      </c>
      <c r="E47" s="15" t="s">
        <v>118</v>
      </c>
      <c r="F47" s="15" t="s">
        <v>119</v>
      </c>
    </row>
    <row r="48" customFormat="false" ht="15" hidden="false" customHeight="true" outlineLevel="0" collapsed="false">
      <c r="A48" s="15" t="n">
        <v>44</v>
      </c>
      <c r="B48" s="15" t="s">
        <v>818</v>
      </c>
      <c r="C48" s="15" t="s">
        <v>823</v>
      </c>
      <c r="D48" s="35" t="n">
        <v>7.2</v>
      </c>
      <c r="E48" s="15" t="s">
        <v>118</v>
      </c>
      <c r="F48" s="15" t="s">
        <v>119</v>
      </c>
    </row>
    <row r="49" customFormat="false" ht="15" hidden="false" customHeight="true" outlineLevel="0" collapsed="false">
      <c r="A49" s="15" t="n">
        <v>45</v>
      </c>
      <c r="B49" s="15" t="s">
        <v>818</v>
      </c>
      <c r="C49" s="15" t="s">
        <v>824</v>
      </c>
      <c r="D49" s="35" t="n">
        <v>7.2</v>
      </c>
      <c r="E49" s="15" t="s">
        <v>825</v>
      </c>
      <c r="F49" s="15" t="s">
        <v>826</v>
      </c>
    </row>
    <row r="50" customFormat="false" ht="15" hidden="false" customHeight="true" outlineLevel="0" collapsed="false">
      <c r="A50" s="15" t="n">
        <v>46</v>
      </c>
      <c r="B50" s="15" t="s">
        <v>818</v>
      </c>
      <c r="C50" s="15" t="s">
        <v>827</v>
      </c>
      <c r="D50" s="35" t="n">
        <v>5.76</v>
      </c>
      <c r="E50" s="15" t="s">
        <v>118</v>
      </c>
      <c r="F50" s="15" t="s">
        <v>119</v>
      </c>
    </row>
    <row r="51" customFormat="false" ht="15" hidden="false" customHeight="true" outlineLevel="0" collapsed="false">
      <c r="A51" s="15" t="n">
        <v>47</v>
      </c>
      <c r="B51" s="15" t="s">
        <v>818</v>
      </c>
      <c r="C51" s="15" t="s">
        <v>828</v>
      </c>
      <c r="D51" s="35" t="n">
        <v>5.76</v>
      </c>
      <c r="E51" s="15" t="s">
        <v>118</v>
      </c>
      <c r="F51" s="15" t="s">
        <v>119</v>
      </c>
    </row>
    <row r="52" customFormat="false" ht="15" hidden="false" customHeight="true" outlineLevel="0" collapsed="false">
      <c r="A52" s="15" t="n">
        <v>48</v>
      </c>
      <c r="B52" s="15" t="s">
        <v>829</v>
      </c>
      <c r="C52" s="15" t="s">
        <v>830</v>
      </c>
      <c r="D52" s="35" t="n">
        <v>4.32</v>
      </c>
      <c r="E52" s="15" t="s">
        <v>78</v>
      </c>
      <c r="F52" s="15" t="s">
        <v>79</v>
      </c>
    </row>
    <row r="53" customFormat="false" ht="15" hidden="false" customHeight="true" outlineLevel="0" collapsed="false">
      <c r="A53" s="15" t="n">
        <v>49</v>
      </c>
      <c r="B53" s="15" t="s">
        <v>829</v>
      </c>
      <c r="C53" s="15" t="s">
        <v>831</v>
      </c>
      <c r="D53" s="35" t="n">
        <v>5.76</v>
      </c>
      <c r="E53" s="15" t="s">
        <v>832</v>
      </c>
      <c r="F53" s="15" t="s">
        <v>833</v>
      </c>
    </row>
    <row r="54" customFormat="false" ht="15" hidden="false" customHeight="true" outlineLevel="0" collapsed="false">
      <c r="A54" s="15" t="n">
        <v>50</v>
      </c>
      <c r="B54" s="15" t="s">
        <v>829</v>
      </c>
      <c r="C54" s="15" t="s">
        <v>834</v>
      </c>
      <c r="D54" s="35" t="n">
        <v>5.76</v>
      </c>
      <c r="E54" s="15" t="s">
        <v>83</v>
      </c>
      <c r="F54" s="15" t="s">
        <v>84</v>
      </c>
    </row>
    <row r="55" customFormat="false" ht="15" hidden="false" customHeight="true" outlineLevel="0" collapsed="false">
      <c r="A55" s="15" t="n">
        <v>51</v>
      </c>
      <c r="B55" s="15" t="s">
        <v>829</v>
      </c>
      <c r="C55" s="15" t="s">
        <v>835</v>
      </c>
      <c r="D55" s="35" t="n">
        <v>7.2</v>
      </c>
      <c r="E55" s="15" t="s">
        <v>83</v>
      </c>
      <c r="F55" s="15" t="s">
        <v>84</v>
      </c>
    </row>
    <row r="56" customFormat="false" ht="15" hidden="false" customHeight="true" outlineLevel="0" collapsed="false">
      <c r="A56" s="15" t="n">
        <v>52</v>
      </c>
      <c r="B56" s="15" t="s">
        <v>829</v>
      </c>
      <c r="C56" s="15" t="s">
        <v>836</v>
      </c>
      <c r="D56" s="35" t="n">
        <v>4.32</v>
      </c>
      <c r="E56" s="15" t="s">
        <v>83</v>
      </c>
      <c r="F56" s="15" t="s">
        <v>84</v>
      </c>
    </row>
    <row r="57" customFormat="false" ht="15" hidden="false" customHeight="true" outlineLevel="0" collapsed="false">
      <c r="A57" s="15" t="n">
        <v>53</v>
      </c>
      <c r="B57" s="15" t="s">
        <v>829</v>
      </c>
      <c r="C57" s="15" t="s">
        <v>837</v>
      </c>
      <c r="D57" s="35" t="n">
        <v>5.76</v>
      </c>
      <c r="E57" s="15" t="s">
        <v>118</v>
      </c>
      <c r="F57" s="15" t="s">
        <v>119</v>
      </c>
    </row>
    <row r="58" customFormat="false" ht="23.25" hidden="false" customHeight="true" outlineLevel="0" collapsed="false">
      <c r="A58" s="15" t="n">
        <v>54</v>
      </c>
      <c r="B58" s="15" t="s">
        <v>829</v>
      </c>
      <c r="C58" s="15" t="s">
        <v>838</v>
      </c>
      <c r="D58" s="35" t="n">
        <v>4.32</v>
      </c>
      <c r="E58" s="15" t="s">
        <v>749</v>
      </c>
      <c r="F58" s="15" t="s">
        <v>807</v>
      </c>
    </row>
    <row r="59" customFormat="false" ht="15" hidden="false" customHeight="true" outlineLevel="0" collapsed="false">
      <c r="A59" s="15" t="n">
        <v>55</v>
      </c>
      <c r="B59" s="15" t="s">
        <v>829</v>
      </c>
      <c r="C59" s="15" t="s">
        <v>839</v>
      </c>
      <c r="D59" s="35" t="n">
        <v>4.32</v>
      </c>
      <c r="E59" s="15" t="s">
        <v>78</v>
      </c>
      <c r="F59" s="15" t="s">
        <v>79</v>
      </c>
    </row>
    <row r="60" customFormat="false" ht="15" hidden="false" customHeight="true" outlineLevel="0" collapsed="false">
      <c r="A60" s="15" t="n">
        <v>56</v>
      </c>
      <c r="B60" s="15" t="s">
        <v>840</v>
      </c>
      <c r="C60" s="15" t="s">
        <v>841</v>
      </c>
      <c r="D60" s="35" t="n">
        <v>4.32</v>
      </c>
      <c r="E60" s="15" t="s">
        <v>59</v>
      </c>
      <c r="F60" s="15" t="s">
        <v>60</v>
      </c>
    </row>
    <row r="61" customFormat="false" ht="15" hidden="false" customHeight="true" outlineLevel="0" collapsed="false">
      <c r="A61" s="15" t="n">
        <v>57</v>
      </c>
      <c r="B61" s="15" t="s">
        <v>840</v>
      </c>
      <c r="C61" s="15" t="s">
        <v>842</v>
      </c>
      <c r="D61" s="35" t="n">
        <v>5.76</v>
      </c>
      <c r="E61" s="15" t="s">
        <v>59</v>
      </c>
      <c r="F61" s="15" t="s">
        <v>60</v>
      </c>
    </row>
    <row r="62" customFormat="false" ht="23.25" hidden="false" customHeight="true" outlineLevel="0" collapsed="false">
      <c r="A62" s="15" t="n">
        <v>58</v>
      </c>
      <c r="B62" s="15" t="s">
        <v>840</v>
      </c>
      <c r="C62" s="15" t="s">
        <v>843</v>
      </c>
      <c r="D62" s="35" t="n">
        <v>7.2</v>
      </c>
      <c r="E62" s="15" t="s">
        <v>844</v>
      </c>
      <c r="F62" s="15" t="s">
        <v>845</v>
      </c>
    </row>
    <row r="63" customFormat="false" ht="15" hidden="false" customHeight="true" outlineLevel="0" collapsed="false">
      <c r="A63" s="15" t="n">
        <v>59</v>
      </c>
      <c r="B63" s="15" t="s">
        <v>840</v>
      </c>
      <c r="C63" s="15" t="s">
        <v>846</v>
      </c>
      <c r="D63" s="35" t="n">
        <v>5.76</v>
      </c>
      <c r="E63" s="15" t="s">
        <v>847</v>
      </c>
      <c r="F63" s="15" t="s">
        <v>848</v>
      </c>
    </row>
    <row r="64" customFormat="false" ht="15" hidden="false" customHeight="true" outlineLevel="0" collapsed="false">
      <c r="A64" s="15" t="n">
        <v>60</v>
      </c>
      <c r="B64" s="15" t="s">
        <v>849</v>
      </c>
      <c r="C64" s="15" t="s">
        <v>850</v>
      </c>
      <c r="D64" s="35" t="n">
        <v>5.76</v>
      </c>
      <c r="E64" s="15" t="s">
        <v>847</v>
      </c>
      <c r="F64" s="15" t="s">
        <v>848</v>
      </c>
    </row>
    <row r="65" customFormat="false" ht="15" hidden="false" customHeight="true" outlineLevel="0" collapsed="false">
      <c r="A65" s="15" t="n">
        <v>61</v>
      </c>
      <c r="B65" s="15" t="s">
        <v>849</v>
      </c>
      <c r="C65" s="15" t="s">
        <v>851</v>
      </c>
      <c r="D65" s="35" t="n">
        <v>5.76</v>
      </c>
      <c r="E65" s="15" t="s">
        <v>735</v>
      </c>
      <c r="F65" s="15" t="s">
        <v>766</v>
      </c>
    </row>
    <row r="66" customFormat="false" ht="15" hidden="false" customHeight="true" outlineLevel="0" collapsed="false">
      <c r="A66" s="15" t="n">
        <v>62</v>
      </c>
      <c r="B66" s="15" t="s">
        <v>849</v>
      </c>
      <c r="C66" s="15" t="s">
        <v>852</v>
      </c>
      <c r="D66" s="35" t="n">
        <v>5.76</v>
      </c>
      <c r="E66" s="15" t="s">
        <v>65</v>
      </c>
      <c r="F66" s="15" t="s">
        <v>66</v>
      </c>
    </row>
    <row r="67" customFormat="false" ht="15" hidden="false" customHeight="true" outlineLevel="0" collapsed="false">
      <c r="A67" s="15" t="n">
        <v>63</v>
      </c>
      <c r="B67" s="15" t="s">
        <v>849</v>
      </c>
      <c r="C67" s="15" t="s">
        <v>853</v>
      </c>
      <c r="D67" s="35" t="n">
        <v>5.76</v>
      </c>
      <c r="E67" s="15" t="s">
        <v>59</v>
      </c>
      <c r="F67" s="15" t="s">
        <v>60</v>
      </c>
    </row>
    <row r="68" customFormat="false" ht="15" hidden="false" customHeight="true" outlineLevel="0" collapsed="false">
      <c r="A68" s="15" t="n">
        <v>64</v>
      </c>
      <c r="B68" s="15" t="s">
        <v>849</v>
      </c>
      <c r="C68" s="15" t="s">
        <v>854</v>
      </c>
      <c r="D68" s="35" t="n">
        <v>5.76</v>
      </c>
      <c r="E68" s="15" t="s">
        <v>78</v>
      </c>
      <c r="F68" s="15" t="s">
        <v>79</v>
      </c>
    </row>
    <row r="69" customFormat="false" ht="15" hidden="false" customHeight="true" outlineLevel="0" collapsed="false">
      <c r="A69" s="15" t="n">
        <v>65</v>
      </c>
      <c r="B69" s="15" t="s">
        <v>849</v>
      </c>
      <c r="C69" s="15" t="s">
        <v>855</v>
      </c>
      <c r="D69" s="35" t="n">
        <v>4.32</v>
      </c>
      <c r="E69" s="15" t="s">
        <v>131</v>
      </c>
      <c r="F69" s="15" t="s">
        <v>132</v>
      </c>
    </row>
    <row r="70" customFormat="false" ht="15" hidden="false" customHeight="true" outlineLevel="0" collapsed="false">
      <c r="A70" s="15" t="n">
        <v>66</v>
      </c>
      <c r="B70" s="15" t="s">
        <v>856</v>
      </c>
      <c r="C70" s="15" t="s">
        <v>857</v>
      </c>
      <c r="D70" s="35" t="n">
        <v>5.76</v>
      </c>
      <c r="E70" s="15" t="s">
        <v>70</v>
      </c>
      <c r="F70" s="15" t="s">
        <v>71</v>
      </c>
    </row>
    <row r="71" customFormat="false" ht="15" hidden="false" customHeight="true" outlineLevel="0" collapsed="false">
      <c r="A71" s="15" t="n">
        <v>67</v>
      </c>
      <c r="B71" s="15" t="s">
        <v>856</v>
      </c>
      <c r="C71" s="15" t="s">
        <v>858</v>
      </c>
      <c r="D71" s="35" t="n">
        <v>7.2</v>
      </c>
      <c r="E71" s="15" t="s">
        <v>70</v>
      </c>
      <c r="F71" s="15" t="s">
        <v>71</v>
      </c>
    </row>
    <row r="72" customFormat="false" ht="15" hidden="false" customHeight="true" outlineLevel="0" collapsed="false">
      <c r="A72" s="15" t="n">
        <v>68</v>
      </c>
      <c r="B72" s="15" t="s">
        <v>856</v>
      </c>
      <c r="C72" s="15" t="s">
        <v>859</v>
      </c>
      <c r="D72" s="35" t="n">
        <v>4.32</v>
      </c>
      <c r="E72" s="15" t="s">
        <v>70</v>
      </c>
      <c r="F72" s="15" t="s">
        <v>71</v>
      </c>
    </row>
    <row r="73" customFormat="false" ht="23.25" hidden="false" customHeight="true" outlineLevel="0" collapsed="false">
      <c r="A73" s="15" t="n">
        <v>69</v>
      </c>
      <c r="B73" s="15" t="s">
        <v>856</v>
      </c>
      <c r="C73" s="15" t="s">
        <v>860</v>
      </c>
      <c r="D73" s="35" t="n">
        <v>4.32</v>
      </c>
      <c r="E73" s="15" t="s">
        <v>861</v>
      </c>
      <c r="F73" s="15" t="s">
        <v>862</v>
      </c>
    </row>
    <row r="74" customFormat="false" ht="15" hidden="false" customHeight="true" outlineLevel="0" collapsed="false">
      <c r="A74" s="15" t="n">
        <v>70</v>
      </c>
      <c r="B74" s="15" t="s">
        <v>863</v>
      </c>
      <c r="C74" s="15" t="s">
        <v>864</v>
      </c>
      <c r="D74" s="35" t="n">
        <v>7.2</v>
      </c>
      <c r="E74" s="15" t="s">
        <v>65</v>
      </c>
      <c r="F74" s="15" t="s">
        <v>66</v>
      </c>
    </row>
    <row r="75" customFormat="false" ht="15" hidden="false" customHeight="true" outlineLevel="0" collapsed="false">
      <c r="A75" s="15" t="n">
        <v>71</v>
      </c>
      <c r="B75" s="15" t="s">
        <v>863</v>
      </c>
      <c r="C75" s="15" t="s">
        <v>865</v>
      </c>
      <c r="D75" s="35" t="n">
        <v>5.76</v>
      </c>
      <c r="E75" s="15" t="s">
        <v>735</v>
      </c>
      <c r="F75" s="15" t="s">
        <v>766</v>
      </c>
    </row>
    <row r="76" customFormat="false" ht="15" hidden="false" customHeight="true" outlineLevel="0" collapsed="false">
      <c r="A76" s="15" t="n">
        <v>72</v>
      </c>
      <c r="B76" s="15" t="s">
        <v>863</v>
      </c>
      <c r="C76" s="15" t="s">
        <v>866</v>
      </c>
      <c r="D76" s="35" t="n">
        <v>7.2</v>
      </c>
      <c r="E76" s="15" t="s">
        <v>867</v>
      </c>
      <c r="F76" s="15" t="s">
        <v>868</v>
      </c>
    </row>
    <row r="77" customFormat="false" ht="15" hidden="false" customHeight="true" outlineLevel="0" collapsed="false">
      <c r="A77" s="15" t="n">
        <v>73</v>
      </c>
      <c r="B77" s="15" t="s">
        <v>863</v>
      </c>
      <c r="C77" s="15" t="s">
        <v>869</v>
      </c>
      <c r="D77" s="35" t="n">
        <v>5.76</v>
      </c>
      <c r="E77" s="15" t="s">
        <v>74</v>
      </c>
      <c r="F77" s="15" t="s">
        <v>75</v>
      </c>
    </row>
    <row r="78" customFormat="false" ht="15" hidden="false" customHeight="true" outlineLevel="0" collapsed="false">
      <c r="A78" s="15" t="n">
        <v>74</v>
      </c>
      <c r="B78" s="15" t="s">
        <v>870</v>
      </c>
      <c r="C78" s="15" t="s">
        <v>871</v>
      </c>
      <c r="D78" s="35" t="n">
        <v>5.76</v>
      </c>
      <c r="E78" s="15" t="s">
        <v>91</v>
      </c>
      <c r="F78" s="15" t="s">
        <v>92</v>
      </c>
    </row>
    <row r="79" customFormat="false" ht="15" hidden="false" customHeight="true" outlineLevel="0" collapsed="false">
      <c r="A79" s="15" t="n">
        <v>75</v>
      </c>
      <c r="B79" s="15" t="s">
        <v>870</v>
      </c>
      <c r="C79" s="15" t="s">
        <v>872</v>
      </c>
      <c r="D79" s="35" t="n">
        <v>5.76</v>
      </c>
      <c r="E79" s="15" t="s">
        <v>91</v>
      </c>
      <c r="F79" s="15" t="s">
        <v>92</v>
      </c>
    </row>
    <row r="80" customFormat="false" ht="15" hidden="false" customHeight="true" outlineLevel="0" collapsed="false">
      <c r="A80" s="15" t="n">
        <v>76</v>
      </c>
      <c r="B80" s="15" t="s">
        <v>870</v>
      </c>
      <c r="C80" s="15" t="s">
        <v>873</v>
      </c>
      <c r="D80" s="35" t="n">
        <v>8.64</v>
      </c>
      <c r="E80" s="15" t="s">
        <v>91</v>
      </c>
      <c r="F80" s="15" t="s">
        <v>92</v>
      </c>
    </row>
    <row r="81" customFormat="false" ht="15" hidden="false" customHeight="true" outlineLevel="0" collapsed="false">
      <c r="A81" s="15" t="n">
        <v>77</v>
      </c>
      <c r="B81" s="15" t="s">
        <v>870</v>
      </c>
      <c r="C81" s="15" t="s">
        <v>874</v>
      </c>
      <c r="D81" s="35" t="n">
        <v>5.76</v>
      </c>
      <c r="E81" s="15" t="s">
        <v>91</v>
      </c>
      <c r="F81" s="15" t="s">
        <v>92</v>
      </c>
    </row>
    <row r="82" customFormat="false" ht="15" hidden="false" customHeight="true" outlineLevel="0" collapsed="false">
      <c r="A82" s="15" t="n">
        <v>78</v>
      </c>
      <c r="B82" s="15" t="s">
        <v>870</v>
      </c>
      <c r="C82" s="15" t="s">
        <v>875</v>
      </c>
      <c r="D82" s="35" t="n">
        <v>4.32</v>
      </c>
      <c r="E82" s="15" t="s">
        <v>876</v>
      </c>
      <c r="F82" s="15" t="s">
        <v>877</v>
      </c>
    </row>
    <row r="83" customFormat="false" ht="15" hidden="false" customHeight="true" outlineLevel="0" collapsed="false">
      <c r="A83" s="15" t="n">
        <v>79</v>
      </c>
      <c r="B83" s="15" t="s">
        <v>870</v>
      </c>
      <c r="C83" s="15" t="s">
        <v>878</v>
      </c>
      <c r="D83" s="35" t="n">
        <v>4.32</v>
      </c>
      <c r="E83" s="15" t="s">
        <v>109</v>
      </c>
      <c r="F83" s="15" t="s">
        <v>110</v>
      </c>
    </row>
    <row r="84" customFormat="false" ht="15" hidden="false" customHeight="true" outlineLevel="0" collapsed="false">
      <c r="A84" s="15" t="n">
        <v>80</v>
      </c>
      <c r="B84" s="15" t="s">
        <v>870</v>
      </c>
      <c r="C84" s="15" t="s">
        <v>879</v>
      </c>
      <c r="D84" s="35" t="n">
        <v>4.32</v>
      </c>
      <c r="E84" s="15" t="s">
        <v>91</v>
      </c>
      <c r="F84" s="15" t="s">
        <v>92</v>
      </c>
    </row>
    <row r="85" customFormat="false" ht="15" hidden="false" customHeight="true" outlineLevel="0" collapsed="false">
      <c r="A85" s="15" t="n">
        <v>81</v>
      </c>
      <c r="B85" s="15" t="s">
        <v>880</v>
      </c>
      <c r="C85" s="15" t="s">
        <v>881</v>
      </c>
      <c r="D85" s="35" t="n">
        <v>5.76</v>
      </c>
      <c r="E85" s="15" t="s">
        <v>525</v>
      </c>
      <c r="F85" s="15" t="s">
        <v>882</v>
      </c>
    </row>
    <row r="86" customFormat="false" ht="15" hidden="false" customHeight="true" outlineLevel="0" collapsed="false">
      <c r="A86" s="15" t="n">
        <v>82</v>
      </c>
      <c r="B86" s="15" t="s">
        <v>880</v>
      </c>
      <c r="C86" s="15" t="s">
        <v>883</v>
      </c>
      <c r="D86" s="35" t="n">
        <v>5.76</v>
      </c>
      <c r="E86" s="15" t="s">
        <v>525</v>
      </c>
      <c r="F86" s="15" t="s">
        <v>882</v>
      </c>
    </row>
    <row r="87" customFormat="false" ht="15" hidden="false" customHeight="true" outlineLevel="0" collapsed="false">
      <c r="A87" s="15" t="n">
        <v>83</v>
      </c>
      <c r="B87" s="15" t="s">
        <v>880</v>
      </c>
      <c r="C87" s="15" t="s">
        <v>884</v>
      </c>
      <c r="D87" s="35" t="n">
        <v>5.76</v>
      </c>
      <c r="E87" s="15" t="s">
        <v>525</v>
      </c>
      <c r="F87" s="15" t="s">
        <v>882</v>
      </c>
    </row>
    <row r="88" customFormat="false" ht="15" hidden="false" customHeight="true" outlineLevel="0" collapsed="false">
      <c r="A88" s="15" t="n">
        <v>84</v>
      </c>
      <c r="B88" s="15" t="s">
        <v>880</v>
      </c>
      <c r="C88" s="15" t="s">
        <v>885</v>
      </c>
      <c r="D88" s="35" t="n">
        <v>7.2</v>
      </c>
      <c r="E88" s="15" t="s">
        <v>525</v>
      </c>
      <c r="F88" s="15" t="s">
        <v>882</v>
      </c>
    </row>
    <row r="89" customFormat="false" ht="15" hidden="false" customHeight="true" outlineLevel="0" collapsed="false">
      <c r="A89" s="15" t="n">
        <v>85</v>
      </c>
      <c r="B89" s="15" t="s">
        <v>880</v>
      </c>
      <c r="C89" s="15" t="s">
        <v>886</v>
      </c>
      <c r="D89" s="35" t="n">
        <v>5.76</v>
      </c>
      <c r="E89" s="15" t="s">
        <v>109</v>
      </c>
      <c r="F89" s="15" t="s">
        <v>110</v>
      </c>
    </row>
    <row r="90" customFormat="false" ht="15" hidden="false" customHeight="true" outlineLevel="0" collapsed="false">
      <c r="A90" s="15" t="n">
        <v>86</v>
      </c>
      <c r="B90" s="15" t="s">
        <v>887</v>
      </c>
      <c r="C90" s="15" t="s">
        <v>888</v>
      </c>
      <c r="D90" s="35" t="n">
        <v>5.76</v>
      </c>
      <c r="E90" s="15" t="s">
        <v>889</v>
      </c>
      <c r="F90" s="15" t="s">
        <v>890</v>
      </c>
    </row>
    <row r="91" customFormat="false" ht="15" hidden="false" customHeight="true" outlineLevel="0" collapsed="false">
      <c r="A91" s="15" t="n">
        <v>87</v>
      </c>
      <c r="B91" s="15" t="s">
        <v>887</v>
      </c>
      <c r="C91" s="15" t="s">
        <v>891</v>
      </c>
      <c r="D91" s="35" t="n">
        <v>4.32</v>
      </c>
      <c r="E91" s="15" t="s">
        <v>889</v>
      </c>
      <c r="F91" s="15" t="s">
        <v>890</v>
      </c>
    </row>
    <row r="92" customFormat="false" ht="15" hidden="false" customHeight="true" outlineLevel="0" collapsed="false">
      <c r="A92" s="15" t="n">
        <v>88</v>
      </c>
      <c r="B92" s="15" t="s">
        <v>887</v>
      </c>
      <c r="C92" s="15" t="s">
        <v>892</v>
      </c>
      <c r="D92" s="35" t="n">
        <v>7.2</v>
      </c>
      <c r="E92" s="15" t="s">
        <v>131</v>
      </c>
      <c r="F92" s="15" t="s">
        <v>132</v>
      </c>
    </row>
    <row r="93" customFormat="false" ht="15" hidden="false" customHeight="true" outlineLevel="0" collapsed="false">
      <c r="A93" s="15" t="n">
        <v>89</v>
      </c>
      <c r="B93" s="15" t="s">
        <v>887</v>
      </c>
      <c r="C93" s="15" t="s">
        <v>893</v>
      </c>
      <c r="D93" s="35" t="n">
        <v>5.76</v>
      </c>
      <c r="E93" s="15" t="s">
        <v>131</v>
      </c>
      <c r="F93" s="15" t="s">
        <v>132</v>
      </c>
    </row>
    <row r="94" customFormat="false" ht="23.25" hidden="false" customHeight="true" outlineLevel="0" collapsed="false">
      <c r="A94" s="15" t="n">
        <v>90</v>
      </c>
      <c r="B94" s="15" t="s">
        <v>887</v>
      </c>
      <c r="C94" s="15" t="s">
        <v>894</v>
      </c>
      <c r="D94" s="35" t="n">
        <v>5.76</v>
      </c>
      <c r="E94" s="15" t="s">
        <v>895</v>
      </c>
      <c r="F94" s="15" t="s">
        <v>896</v>
      </c>
    </row>
    <row r="95" customFormat="false" ht="15" hidden="false" customHeight="true" outlineLevel="0" collapsed="false">
      <c r="A95" s="15" t="n">
        <v>91</v>
      </c>
      <c r="B95" s="15" t="s">
        <v>887</v>
      </c>
      <c r="C95" s="15" t="s">
        <v>897</v>
      </c>
      <c r="D95" s="35" t="n">
        <v>5.76</v>
      </c>
      <c r="E95" s="15" t="s">
        <v>898</v>
      </c>
      <c r="F95" s="15" t="s">
        <v>899</v>
      </c>
    </row>
    <row r="96" customFormat="false" ht="23.25" hidden="false" customHeight="true" outlineLevel="0" collapsed="false">
      <c r="A96" s="15" t="n">
        <v>92</v>
      </c>
      <c r="B96" s="15" t="s">
        <v>900</v>
      </c>
      <c r="C96" s="15" t="s">
        <v>901</v>
      </c>
      <c r="D96" s="35" t="n">
        <v>2.88</v>
      </c>
      <c r="E96" s="15" t="s">
        <v>844</v>
      </c>
      <c r="F96" s="15" t="s">
        <v>845</v>
      </c>
    </row>
    <row r="97" customFormat="false" ht="15" hidden="false" customHeight="true" outlineLevel="0" collapsed="false">
      <c r="A97" s="15" t="n">
        <v>93</v>
      </c>
      <c r="B97" s="15" t="s">
        <v>900</v>
      </c>
      <c r="C97" s="15" t="s">
        <v>902</v>
      </c>
      <c r="D97" s="35" t="n">
        <v>2.88</v>
      </c>
      <c r="E97" s="15" t="s">
        <v>70</v>
      </c>
      <c r="F97" s="15" t="s">
        <v>71</v>
      </c>
    </row>
    <row r="98" customFormat="false" ht="15" hidden="false" customHeight="true" outlineLevel="0" collapsed="false">
      <c r="A98" s="15" t="n">
        <v>94</v>
      </c>
      <c r="B98" s="15" t="s">
        <v>900</v>
      </c>
      <c r="C98" s="15" t="s">
        <v>903</v>
      </c>
      <c r="D98" s="35" t="n">
        <v>2.88</v>
      </c>
      <c r="E98" s="15" t="s">
        <v>83</v>
      </c>
      <c r="F98" s="15" t="s">
        <v>84</v>
      </c>
    </row>
    <row r="99" customFormat="false" ht="15" hidden="false" customHeight="true" outlineLevel="0" collapsed="false">
      <c r="A99" s="15" t="n">
        <v>95</v>
      </c>
      <c r="B99" s="15" t="s">
        <v>900</v>
      </c>
      <c r="C99" s="15" t="s">
        <v>904</v>
      </c>
      <c r="D99" s="35" t="n">
        <v>2.88</v>
      </c>
      <c r="E99" s="15" t="s">
        <v>91</v>
      </c>
      <c r="F99" s="15" t="s">
        <v>92</v>
      </c>
    </row>
    <row r="100" customFormat="false" ht="15" hidden="false" customHeight="true" outlineLevel="0" collapsed="false">
      <c r="A100" s="15" t="n">
        <v>96</v>
      </c>
      <c r="B100" s="15" t="s">
        <v>905</v>
      </c>
      <c r="C100" s="15" t="s">
        <v>906</v>
      </c>
      <c r="D100" s="35" t="n">
        <v>7.2</v>
      </c>
      <c r="E100" s="15" t="s">
        <v>100</v>
      </c>
      <c r="F100" s="15" t="s">
        <v>101</v>
      </c>
    </row>
    <row r="101" customFormat="false" ht="23.25" hidden="false" customHeight="true" outlineLevel="0" collapsed="false">
      <c r="A101" s="15" t="n">
        <v>97</v>
      </c>
      <c r="B101" s="15" t="s">
        <v>905</v>
      </c>
      <c r="C101" s="15" t="s">
        <v>907</v>
      </c>
      <c r="D101" s="35" t="n">
        <v>8.64</v>
      </c>
      <c r="E101" s="15" t="s">
        <v>908</v>
      </c>
      <c r="F101" s="15" t="s">
        <v>909</v>
      </c>
    </row>
    <row r="102" customFormat="false" ht="23.25" hidden="false" customHeight="true" outlineLevel="0" collapsed="false">
      <c r="A102" s="15" t="n">
        <v>98</v>
      </c>
      <c r="B102" s="15" t="s">
        <v>905</v>
      </c>
      <c r="C102" s="15" t="s">
        <v>910</v>
      </c>
      <c r="D102" s="35" t="n">
        <v>4.32</v>
      </c>
      <c r="E102" s="15" t="s">
        <v>908</v>
      </c>
      <c r="F102" s="15" t="s">
        <v>909</v>
      </c>
    </row>
    <row r="103" customFormat="false" ht="15" hidden="false" customHeight="true" outlineLevel="0" collapsed="false">
      <c r="A103" s="15" t="n">
        <v>99</v>
      </c>
      <c r="B103" s="15" t="s">
        <v>911</v>
      </c>
      <c r="C103" s="15" t="s">
        <v>912</v>
      </c>
      <c r="D103" s="35" t="n">
        <v>8.64</v>
      </c>
      <c r="E103" s="15" t="s">
        <v>913</v>
      </c>
      <c r="F103" s="15" t="s">
        <v>914</v>
      </c>
    </row>
    <row r="104" customFormat="false" ht="15" hidden="false" customHeight="true" outlineLevel="0" collapsed="false">
      <c r="A104" s="15" t="n">
        <v>100</v>
      </c>
      <c r="B104" s="15" t="s">
        <v>911</v>
      </c>
      <c r="C104" s="15" t="s">
        <v>915</v>
      </c>
      <c r="D104" s="35" t="n">
        <v>4.32</v>
      </c>
      <c r="E104" s="15" t="s">
        <v>916</v>
      </c>
      <c r="F104" s="15" t="s">
        <v>917</v>
      </c>
    </row>
    <row r="106" customFormat="false" ht="15" hidden="false" customHeight="true" outlineLevel="0" collapsed="false">
      <c r="A106" s="3" t="s">
        <v>918</v>
      </c>
      <c r="D106" s="36" t="n">
        <f aca="false">SUM(D5:D104)</f>
        <v>573.12</v>
      </c>
    </row>
    <row r="108" customFormat="false" ht="15" hidden="false" customHeight="true" outlineLevel="0" collapsed="false">
      <c r="A108" s="20" t="s">
        <v>919</v>
      </c>
    </row>
    <row r="109" customFormat="false" ht="15" hidden="false" customHeight="true" outlineLevel="0" collapsed="false">
      <c r="B109" s="8" t="s">
        <v>753</v>
      </c>
      <c r="C109" s="8" t="s">
        <v>920</v>
      </c>
      <c r="D109" s="8" t="s">
        <v>921</v>
      </c>
      <c r="E109" s="8" t="s">
        <v>922</v>
      </c>
    </row>
    <row r="110" customFormat="false" ht="15" hidden="false" customHeight="true" outlineLevel="0" collapsed="false">
      <c r="B110" s="37" t="s">
        <v>757</v>
      </c>
      <c r="C110" s="38" t="n">
        <v>25.92</v>
      </c>
      <c r="D110" s="39" t="n">
        <f aca="false">SUMIF($B$5:$B$104,B110,$D$5:$D$104)</f>
        <v>25.92</v>
      </c>
      <c r="E110" s="39" t="n">
        <f aca="false">ROUND(D110-C110,2)</f>
        <v>0</v>
      </c>
    </row>
    <row r="111" customFormat="false" ht="15" hidden="false" customHeight="true" outlineLevel="0" collapsed="false">
      <c r="B111" s="37" t="s">
        <v>764</v>
      </c>
      <c r="C111" s="38" t="n">
        <v>10.08</v>
      </c>
      <c r="D111" s="39" t="n">
        <f aca="false">SUMIF($B$5:$B$104,B111,$D$5:$D$104)</f>
        <v>10.08</v>
      </c>
      <c r="E111" s="39" t="n">
        <f aca="false">ROUND(D111-C111,2)</f>
        <v>0</v>
      </c>
    </row>
    <row r="112" customFormat="false" ht="15" hidden="false" customHeight="true" outlineLevel="0" collapsed="false">
      <c r="B112" s="37" t="s">
        <v>768</v>
      </c>
      <c r="C112" s="38" t="n">
        <v>31.68</v>
      </c>
      <c r="D112" s="39" t="n">
        <f aca="false">SUMIF($B$5:$B$104,B112,$D$5:$D$104)</f>
        <v>31.68</v>
      </c>
      <c r="E112" s="39" t="n">
        <f aca="false">ROUND(D112-C112,2)</f>
        <v>0</v>
      </c>
    </row>
    <row r="113" customFormat="false" ht="15" hidden="false" customHeight="true" outlineLevel="0" collapsed="false">
      <c r="B113" s="37" t="s">
        <v>776</v>
      </c>
      <c r="C113" s="38" t="n">
        <v>38.88</v>
      </c>
      <c r="D113" s="39" t="n">
        <f aca="false">SUMIF($B$5:$B$104,B113,$D$5:$D$104)</f>
        <v>38.88</v>
      </c>
      <c r="E113" s="39" t="n">
        <f aca="false">ROUND(D113-C113,2)</f>
        <v>0</v>
      </c>
    </row>
    <row r="114" customFormat="false" ht="15" hidden="false" customHeight="true" outlineLevel="0" collapsed="false">
      <c r="B114" s="37" t="s">
        <v>786</v>
      </c>
      <c r="C114" s="38" t="n">
        <v>33.12</v>
      </c>
      <c r="D114" s="39" t="n">
        <f aca="false">SUMIF($B$5:$B$104,B114,$D$5:$D$104)</f>
        <v>33.12</v>
      </c>
      <c r="E114" s="39" t="n">
        <f aca="false">ROUND(D114-C114,2)</f>
        <v>0</v>
      </c>
    </row>
    <row r="115" customFormat="false" ht="15" hidden="false" customHeight="true" outlineLevel="0" collapsed="false">
      <c r="B115" s="37" t="s">
        <v>791</v>
      </c>
      <c r="C115" s="38" t="n">
        <v>21.6</v>
      </c>
      <c r="D115" s="39" t="n">
        <f aca="false">SUMIF($B$5:$B$104,B115,$D$5:$D$104)</f>
        <v>21.6</v>
      </c>
      <c r="E115" s="39" t="n">
        <f aca="false">ROUND(D115-C115,2)</f>
        <v>0</v>
      </c>
    </row>
    <row r="116" customFormat="false" ht="15" hidden="false" customHeight="true" outlineLevel="0" collapsed="false">
      <c r="B116" s="37" t="s">
        <v>802</v>
      </c>
      <c r="C116" s="38" t="n">
        <v>63.36</v>
      </c>
      <c r="D116" s="39" t="n">
        <f aca="false">SUMIF($B$5:$B$104,B116,$D$5:$D$104)</f>
        <v>63.36</v>
      </c>
      <c r="E116" s="39" t="n">
        <f aca="false">ROUND(D116-C116,2)</f>
        <v>0</v>
      </c>
    </row>
    <row r="117" customFormat="false" ht="15" hidden="false" customHeight="true" outlineLevel="0" collapsed="false">
      <c r="B117" s="37" t="s">
        <v>818</v>
      </c>
      <c r="C117" s="38" t="n">
        <v>54.72</v>
      </c>
      <c r="D117" s="39" t="n">
        <f aca="false">SUMIF($B$5:$B$104,B117,$D$5:$D$104)</f>
        <v>54.72</v>
      </c>
      <c r="E117" s="39" t="n">
        <f aca="false">ROUND(D117-C117,2)</f>
        <v>0</v>
      </c>
    </row>
    <row r="118" customFormat="false" ht="15" hidden="false" customHeight="true" outlineLevel="0" collapsed="false">
      <c r="B118" s="37" t="s">
        <v>829</v>
      </c>
      <c r="C118" s="38" t="n">
        <v>41.76</v>
      </c>
      <c r="D118" s="39" t="n">
        <f aca="false">SUMIF($B$5:$B$104,B118,$D$5:$D$104)</f>
        <v>41.76</v>
      </c>
      <c r="E118" s="39" t="n">
        <f aca="false">ROUND(D118-C118,2)</f>
        <v>0</v>
      </c>
    </row>
    <row r="119" customFormat="false" ht="15" hidden="false" customHeight="true" outlineLevel="0" collapsed="false">
      <c r="B119" s="37" t="s">
        <v>840</v>
      </c>
      <c r="C119" s="38" t="n">
        <v>23.04</v>
      </c>
      <c r="D119" s="39" t="n">
        <f aca="false">SUMIF($B$5:$B$104,B119,$D$5:$D$104)</f>
        <v>23.04</v>
      </c>
      <c r="E119" s="39" t="n">
        <f aca="false">ROUND(D119-C119,2)</f>
        <v>0</v>
      </c>
    </row>
    <row r="120" customFormat="false" ht="15" hidden="false" customHeight="true" outlineLevel="0" collapsed="false">
      <c r="B120" s="37" t="s">
        <v>849</v>
      </c>
      <c r="C120" s="38" t="n">
        <v>33.12</v>
      </c>
      <c r="D120" s="39" t="n">
        <f aca="false">SUMIF($B$5:$B$104,B120,$D$5:$D$104)</f>
        <v>33.12</v>
      </c>
      <c r="E120" s="39" t="n">
        <f aca="false">ROUND(D120-C120,2)</f>
        <v>0</v>
      </c>
    </row>
    <row r="121" customFormat="false" ht="15" hidden="false" customHeight="true" outlineLevel="0" collapsed="false">
      <c r="B121" s="37" t="s">
        <v>856</v>
      </c>
      <c r="C121" s="38" t="n">
        <v>21.6</v>
      </c>
      <c r="D121" s="39" t="n">
        <f aca="false">SUMIF($B$5:$B$104,B121,$D$5:$D$104)</f>
        <v>21.6</v>
      </c>
      <c r="E121" s="39" t="n">
        <f aca="false">ROUND(D121-C121,2)</f>
        <v>0</v>
      </c>
    </row>
    <row r="122" customFormat="false" ht="15" hidden="false" customHeight="true" outlineLevel="0" collapsed="false">
      <c r="B122" s="37" t="s">
        <v>863</v>
      </c>
      <c r="C122" s="38" t="n">
        <v>25.92</v>
      </c>
      <c r="D122" s="39" t="n">
        <f aca="false">SUMIF($B$5:$B$104,B122,$D$5:$D$104)</f>
        <v>25.92</v>
      </c>
      <c r="E122" s="39" t="n">
        <f aca="false">ROUND(D122-C122,2)</f>
        <v>0</v>
      </c>
    </row>
    <row r="123" customFormat="false" ht="15" hidden="false" customHeight="true" outlineLevel="0" collapsed="false">
      <c r="B123" s="37" t="s">
        <v>870</v>
      </c>
      <c r="C123" s="38" t="n">
        <v>38.88</v>
      </c>
      <c r="D123" s="39" t="n">
        <f aca="false">SUMIF($B$5:$B$104,B123,$D$5:$D$104)</f>
        <v>38.88</v>
      </c>
      <c r="E123" s="39" t="n">
        <f aca="false">ROUND(D123-C123,2)</f>
        <v>0</v>
      </c>
    </row>
    <row r="124" customFormat="false" ht="15" hidden="false" customHeight="true" outlineLevel="0" collapsed="false">
      <c r="B124" s="37" t="s">
        <v>880</v>
      </c>
      <c r="C124" s="38" t="n">
        <v>30.24</v>
      </c>
      <c r="D124" s="39" t="n">
        <f aca="false">SUMIF($B$5:$B$104,B124,$D$5:$D$104)</f>
        <v>30.24</v>
      </c>
      <c r="E124" s="39" t="n">
        <f aca="false">ROUND(D124-C124,2)</f>
        <v>0</v>
      </c>
    </row>
    <row r="125" customFormat="false" ht="15" hidden="false" customHeight="true" outlineLevel="0" collapsed="false">
      <c r="B125" s="37" t="s">
        <v>887</v>
      </c>
      <c r="C125" s="38" t="n">
        <v>34.56</v>
      </c>
      <c r="D125" s="39" t="n">
        <f aca="false">SUMIF($B$5:$B$104,B125,$D$5:$D$104)</f>
        <v>34.56</v>
      </c>
      <c r="E125" s="39" t="n">
        <f aca="false">ROUND(D125-C125,2)</f>
        <v>0</v>
      </c>
    </row>
    <row r="126" customFormat="false" ht="15" hidden="false" customHeight="true" outlineLevel="0" collapsed="false">
      <c r="B126" s="37" t="s">
        <v>900</v>
      </c>
      <c r="C126" s="38" t="n">
        <v>11.52</v>
      </c>
      <c r="D126" s="39" t="n">
        <f aca="false">SUMIF($B$5:$B$104,B126,$D$5:$D$104)</f>
        <v>11.52</v>
      </c>
      <c r="E126" s="39" t="n">
        <f aca="false">ROUND(D126-C126,2)</f>
        <v>0</v>
      </c>
    </row>
    <row r="127" customFormat="false" ht="15" hidden="false" customHeight="true" outlineLevel="0" collapsed="false">
      <c r="B127" s="37" t="s">
        <v>905</v>
      </c>
      <c r="C127" s="38" t="n">
        <v>20.16</v>
      </c>
      <c r="D127" s="39" t="n">
        <f aca="false">SUMIF($B$5:$B$104,B127,$D$5:$D$104)</f>
        <v>20.16</v>
      </c>
      <c r="E127" s="39" t="n">
        <f aca="false">ROUND(D127-C127,2)</f>
        <v>0</v>
      </c>
    </row>
    <row r="128" customFormat="false" ht="15" hidden="false" customHeight="true" outlineLevel="0" collapsed="false">
      <c r="B128" s="37" t="s">
        <v>911</v>
      </c>
      <c r="C128" s="38" t="n">
        <v>12.96</v>
      </c>
      <c r="D128" s="39" t="n">
        <f aca="false">SUMIF($B$5:$B$104,B128,$D$5:$D$104)</f>
        <v>12.96</v>
      </c>
      <c r="E128" s="39" t="n">
        <f aca="false">ROUND(D128-C128,2)</f>
        <v>0</v>
      </c>
    </row>
    <row r="129" customFormat="false" ht="15" hidden="false" customHeight="true" outlineLevel="0" collapsed="false">
      <c r="B129" s="3" t="s">
        <v>35</v>
      </c>
      <c r="C129" s="36" t="n">
        <f aca="false">SUM(C110:C128)</f>
        <v>573.12</v>
      </c>
      <c r="D129" s="36" t="n">
        <f aca="false">SUM(D110:D128)</f>
        <v>573.12</v>
      </c>
      <c r="E129" s="36" t="n">
        <f aca="false">ROUND(D129-C129,2)</f>
        <v>0</v>
      </c>
    </row>
    <row r="130" customFormat="false" ht="15" hidden="false" customHeight="true" outlineLevel="0" collapsed="false">
      <c r="B130" s="13" t="s">
        <v>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7" min="6" style="1" width="8"/>
    <col collapsed="false" customWidth="true" hidden="false" outlineLevel="0" max="9" min="8" style="1" width="12"/>
    <col collapsed="false" customWidth="true" hidden="false" outlineLevel="0" max="10" min="10" style="1" width="14"/>
  </cols>
  <sheetData>
    <row r="1" customFormat="false" ht="17.25" hidden="false" customHeight="true" outlineLevel="0" collapsed="false">
      <c r="A1" s="17" t="s">
        <v>924</v>
      </c>
    </row>
    <row r="2" customFormat="false" ht="15" hidden="false" customHeight="true" outlineLevel="0" collapsed="false">
      <c r="A2" s="18" t="s">
        <v>925</v>
      </c>
    </row>
    <row r="4" customFormat="false" ht="34.5" hidden="false" customHeight="true" outlineLevel="0" collapsed="false">
      <c r="A4" s="14" t="s">
        <v>926</v>
      </c>
      <c r="B4" s="14" t="s">
        <v>927</v>
      </c>
      <c r="C4" s="14" t="s">
        <v>928</v>
      </c>
      <c r="D4" s="14" t="s">
        <v>929</v>
      </c>
      <c r="E4" s="14" t="s">
        <v>930</v>
      </c>
      <c r="F4" s="14" t="s">
        <v>931</v>
      </c>
      <c r="G4" s="14" t="s">
        <v>932</v>
      </c>
      <c r="H4" s="14" t="s">
        <v>933</v>
      </c>
      <c r="I4" s="14" t="s">
        <v>934</v>
      </c>
      <c r="J4" s="14" t="s">
        <v>922</v>
      </c>
    </row>
    <row r="5" customFormat="false" ht="15" hidden="false" customHeight="true" outlineLevel="0" collapsed="false">
      <c r="A5" s="15" t="s">
        <v>935</v>
      </c>
      <c r="B5" s="40" t="n">
        <v>10</v>
      </c>
      <c r="C5" s="40" t="n">
        <v>7</v>
      </c>
      <c r="D5" s="40" t="n">
        <v>29</v>
      </c>
      <c r="E5" s="40" t="n">
        <v>10</v>
      </c>
      <c r="F5" s="15"/>
      <c r="G5" s="15"/>
      <c r="H5" s="40" t="n">
        <v>56</v>
      </c>
      <c r="I5" s="15" t="n">
        <f aca="false">SUM(B5:G5)</f>
        <v>56</v>
      </c>
      <c r="J5" s="41" t="n">
        <f aca="false">I5-H5</f>
        <v>0</v>
      </c>
    </row>
    <row r="6" customFormat="false" ht="15" hidden="false" customHeight="true" outlineLevel="0" collapsed="false">
      <c r="A6" s="15" t="s">
        <v>856</v>
      </c>
      <c r="B6" s="40" t="n">
        <v>6</v>
      </c>
      <c r="C6" s="40" t="n">
        <v>5</v>
      </c>
      <c r="D6" s="40" t="n">
        <v>19</v>
      </c>
      <c r="E6" s="40" t="n">
        <v>6</v>
      </c>
      <c r="F6" s="15"/>
      <c r="G6" s="15"/>
      <c r="H6" s="40" t="n">
        <v>36</v>
      </c>
      <c r="I6" s="15" t="n">
        <f aca="false">SUM(B6:G6)</f>
        <v>36</v>
      </c>
      <c r="J6" s="41" t="n">
        <f aca="false">I6-H6</f>
        <v>0</v>
      </c>
    </row>
    <row r="7" customFormat="false" ht="15" hidden="false" customHeight="true" outlineLevel="0" collapsed="false">
      <c r="A7" s="15" t="s">
        <v>936</v>
      </c>
      <c r="B7" s="40" t="n">
        <v>10</v>
      </c>
      <c r="C7" s="40" t="n">
        <v>7</v>
      </c>
      <c r="D7" s="40" t="n">
        <v>31</v>
      </c>
      <c r="E7" s="40" t="n">
        <v>10</v>
      </c>
      <c r="F7" s="15"/>
      <c r="G7" s="15"/>
      <c r="H7" s="40" t="n">
        <v>58</v>
      </c>
      <c r="I7" s="15" t="n">
        <f aca="false">SUM(B7:G7)</f>
        <v>58</v>
      </c>
      <c r="J7" s="41" t="n">
        <f aca="false">I7-H7</f>
        <v>0</v>
      </c>
    </row>
    <row r="8" customFormat="false" ht="15" hidden="false" customHeight="true" outlineLevel="0" collapsed="false">
      <c r="A8" s="15" t="s">
        <v>937</v>
      </c>
      <c r="B8" s="40" t="n">
        <v>10</v>
      </c>
      <c r="C8" s="40" t="n">
        <v>7</v>
      </c>
      <c r="D8" s="40" t="n">
        <v>31</v>
      </c>
      <c r="E8" s="40" t="n">
        <v>10</v>
      </c>
      <c r="F8" s="15"/>
      <c r="G8" s="15"/>
      <c r="H8" s="40" t="n">
        <v>58</v>
      </c>
      <c r="I8" s="15" t="n">
        <f aca="false">SUM(B8:G8)</f>
        <v>58</v>
      </c>
      <c r="J8" s="41" t="n">
        <f aca="false">I8-H8</f>
        <v>0</v>
      </c>
    </row>
    <row r="9" customFormat="false" ht="15" hidden="false" customHeight="true" outlineLevel="0" collapsed="false">
      <c r="A9" s="15" t="s">
        <v>938</v>
      </c>
      <c r="B9" s="40" t="n">
        <v>10</v>
      </c>
      <c r="C9" s="40" t="n">
        <v>7</v>
      </c>
      <c r="D9" s="40" t="n">
        <v>29</v>
      </c>
      <c r="E9" s="40" t="n">
        <v>10</v>
      </c>
      <c r="F9" s="15"/>
      <c r="G9" s="15"/>
      <c r="H9" s="40" t="n">
        <v>56</v>
      </c>
      <c r="I9" s="15" t="n">
        <f aca="false">SUM(B9:G9)</f>
        <v>56</v>
      </c>
      <c r="J9" s="41" t="n">
        <f aca="false">I9-H9</f>
        <v>0</v>
      </c>
    </row>
    <row r="10" customFormat="false" ht="15" hidden="false" customHeight="true" outlineLevel="0" collapsed="false">
      <c r="A10" s="15" t="s">
        <v>939</v>
      </c>
      <c r="B10" s="40" t="n">
        <v>8</v>
      </c>
      <c r="C10" s="40" t="n">
        <v>6</v>
      </c>
      <c r="D10" s="40" t="n">
        <v>27</v>
      </c>
      <c r="E10" s="40" t="n">
        <v>8</v>
      </c>
      <c r="F10" s="15"/>
      <c r="G10" s="15"/>
      <c r="H10" s="40" t="n">
        <v>49</v>
      </c>
      <c r="I10" s="15" t="n">
        <f aca="false">SUM(B10:G10)</f>
        <v>49</v>
      </c>
      <c r="J10" s="41" t="n">
        <f aca="false">I10-H10</f>
        <v>0</v>
      </c>
    </row>
    <row r="11" customFormat="false" ht="15" hidden="false" customHeight="true" outlineLevel="0" collapsed="false">
      <c r="A11" s="15" t="s">
        <v>940</v>
      </c>
      <c r="B11" s="40" t="n">
        <v>10</v>
      </c>
      <c r="C11" s="40" t="n">
        <v>7</v>
      </c>
      <c r="D11" s="40" t="n">
        <v>26</v>
      </c>
      <c r="E11" s="40" t="n">
        <v>10</v>
      </c>
      <c r="F11" s="15"/>
      <c r="G11" s="15"/>
      <c r="H11" s="40" t="n">
        <v>53</v>
      </c>
      <c r="I11" s="15" t="n">
        <f aca="false">SUM(B11:G11)</f>
        <v>53</v>
      </c>
      <c r="J11" s="41" t="n">
        <f aca="false">I11-H11</f>
        <v>0</v>
      </c>
    </row>
    <row r="12" customFormat="false" ht="15" hidden="false" customHeight="true" outlineLevel="0" collapsed="false">
      <c r="A12" s="15" t="s">
        <v>941</v>
      </c>
      <c r="B12" s="40" t="n">
        <v>7</v>
      </c>
      <c r="C12" s="40" t="n">
        <v>6</v>
      </c>
      <c r="D12" s="40" t="n">
        <v>22</v>
      </c>
      <c r="E12" s="40" t="n">
        <v>7</v>
      </c>
      <c r="F12" s="15"/>
      <c r="G12" s="15"/>
      <c r="H12" s="40" t="n">
        <v>42</v>
      </c>
      <c r="I12" s="15" t="n">
        <f aca="false">SUM(B12:G12)</f>
        <v>42</v>
      </c>
      <c r="J12" s="41" t="n">
        <f aca="false">I12-H12</f>
        <v>0</v>
      </c>
    </row>
    <row r="13" customFormat="false" ht="15" hidden="false" customHeight="true" outlineLevel="0" collapsed="false">
      <c r="A13" s="15" t="s">
        <v>942</v>
      </c>
      <c r="B13" s="40" t="n">
        <v>7</v>
      </c>
      <c r="C13" s="40" t="n">
        <v>12</v>
      </c>
      <c r="D13" s="40" t="n">
        <v>37</v>
      </c>
      <c r="E13" s="40" t="n">
        <v>10</v>
      </c>
      <c r="F13" s="40" t="n">
        <v>7</v>
      </c>
      <c r="G13" s="15"/>
      <c r="H13" s="40" t="n">
        <v>72</v>
      </c>
      <c r="I13" s="15" t="n">
        <f aca="false">SUM(B13:G13)</f>
        <v>73</v>
      </c>
      <c r="J13" s="41" t="n">
        <f aca="false">I13-H13</f>
        <v>1</v>
      </c>
    </row>
    <row r="14" customFormat="false" ht="15" hidden="false" customHeight="true" outlineLevel="0" collapsed="false">
      <c r="A14" s="15" t="s">
        <v>943</v>
      </c>
      <c r="B14" s="40" t="n">
        <v>6</v>
      </c>
      <c r="C14" s="40" t="n">
        <v>5</v>
      </c>
      <c r="D14" s="40" t="n">
        <v>17</v>
      </c>
      <c r="E14" s="40" t="n">
        <v>6</v>
      </c>
      <c r="F14" s="15"/>
      <c r="G14" s="15"/>
      <c r="H14" s="40" t="n">
        <v>34</v>
      </c>
      <c r="I14" s="15" t="n">
        <f aca="false">SUM(B14:G14)</f>
        <v>34</v>
      </c>
      <c r="J14" s="41" t="n">
        <f aca="false">I14-H14</f>
        <v>0</v>
      </c>
    </row>
    <row r="15" customFormat="false" ht="15" hidden="false" customHeight="true" outlineLevel="0" collapsed="false">
      <c r="A15" s="15" t="s">
        <v>944</v>
      </c>
      <c r="B15" s="40" t="n">
        <v>12</v>
      </c>
      <c r="C15" s="40" t="n">
        <v>5</v>
      </c>
      <c r="D15" s="40" t="n">
        <v>14</v>
      </c>
      <c r="E15" s="40" t="n">
        <v>14</v>
      </c>
      <c r="F15" s="40" t="n">
        <v>10</v>
      </c>
      <c r="G15" s="15"/>
      <c r="H15" s="40" t="n">
        <v>55</v>
      </c>
      <c r="I15" s="15" t="n">
        <f aca="false">SUM(B15:G15)</f>
        <v>55</v>
      </c>
      <c r="J15" s="41" t="n">
        <f aca="false">I15-H15</f>
        <v>0</v>
      </c>
    </row>
    <row r="16" customFormat="false" ht="15" hidden="false" customHeight="true" outlineLevel="0" collapsed="false">
      <c r="A16" s="15" t="s">
        <v>945</v>
      </c>
      <c r="B16" s="15"/>
      <c r="C16" s="15"/>
      <c r="D16" s="40" t="n">
        <v>3</v>
      </c>
      <c r="E16" s="15"/>
      <c r="F16" s="15"/>
      <c r="G16" s="40" t="n">
        <v>29</v>
      </c>
      <c r="H16" s="40" t="n">
        <v>32</v>
      </c>
      <c r="I16" s="15" t="n">
        <f aca="false">SUM(B16:G16)</f>
        <v>32</v>
      </c>
      <c r="J16" s="41" t="n">
        <f aca="false">I16-H16</f>
        <v>0</v>
      </c>
    </row>
    <row r="17" customFormat="false" ht="15" hidden="false" customHeight="true" outlineLevel="0" collapsed="false">
      <c r="A17" s="15" t="s">
        <v>946</v>
      </c>
      <c r="B17" s="40" t="n">
        <v>48</v>
      </c>
      <c r="C17" s="15"/>
      <c r="D17" s="15"/>
      <c r="E17" s="15"/>
      <c r="F17" s="15"/>
      <c r="G17" s="15"/>
      <c r="H17" s="40" t="n">
        <v>48</v>
      </c>
      <c r="I17" s="15" t="n">
        <f aca="false">SUM(B17:G17)</f>
        <v>48</v>
      </c>
      <c r="J17" s="41" t="n">
        <f aca="false">I17-H17</f>
        <v>0</v>
      </c>
    </row>
    <row r="18" customFormat="false" ht="23.25" hidden="false" customHeight="true" outlineLevel="0" collapsed="false">
      <c r="A18" s="15" t="s">
        <v>947</v>
      </c>
      <c r="B18" s="15"/>
      <c r="C18" s="15"/>
      <c r="D18" s="15"/>
      <c r="E18" s="15"/>
      <c r="F18" s="15"/>
      <c r="G18" s="15"/>
      <c r="H18" s="40" t="n">
        <v>90</v>
      </c>
      <c r="I18" s="15" t="n">
        <f aca="false">H18</f>
        <v>90</v>
      </c>
      <c r="J18" s="41" t="s">
        <v>948</v>
      </c>
    </row>
    <row r="19" customFormat="false" ht="15" hidden="false" customHeight="true" outlineLevel="0" collapsed="false">
      <c r="A19" s="3" t="s">
        <v>35</v>
      </c>
      <c r="B19" s="3" t="n">
        <f aca="false">SUM(B5:B18)</f>
        <v>144</v>
      </c>
      <c r="C19" s="3" t="n">
        <f aca="false">SUM(C5:C18)</f>
        <v>74</v>
      </c>
      <c r="D19" s="3" t="n">
        <f aca="false">SUM(D5:D18)</f>
        <v>285</v>
      </c>
      <c r="E19" s="3" t="n">
        <f aca="false">SUM(E5:E18)</f>
        <v>101</v>
      </c>
      <c r="F19" s="3" t="n">
        <f aca="false">SUM(F5:F18)</f>
        <v>17</v>
      </c>
      <c r="G19" s="3" t="n">
        <f aca="false">SUM(G5:G18)</f>
        <v>29</v>
      </c>
      <c r="H19" s="3" t="n">
        <f aca="false">SUM(H5:H18)</f>
        <v>739</v>
      </c>
      <c r="I19" s="3" t="n">
        <f aca="false">SUM(I5:I18)</f>
        <v>740</v>
      </c>
      <c r="J19" s="42" t="n">
        <f aca="false">I19-H19</f>
        <v>1</v>
      </c>
    </row>
    <row r="21" customFormat="false" ht="15" hidden="false" customHeight="true" outlineLevel="0" collapsed="false">
      <c r="A21" s="20" t="s">
        <v>949</v>
      </c>
    </row>
    <row r="22" customFormat="false" ht="15" hidden="false" customHeight="true" outlineLevel="0" collapsed="false">
      <c r="A22" s="24" t="s">
        <v>950</v>
      </c>
      <c r="B22" s="43" t="n">
        <f aca="false">D19+E19</f>
        <v>386</v>
      </c>
    </row>
    <row r="23" customFormat="false" ht="15" hidden="false" customHeight="true" outlineLevel="0" collapsed="false">
      <c r="A23" s="24" t="s">
        <v>951</v>
      </c>
      <c r="B23" s="43" t="n">
        <f aca="false">'SOW Scope Map'!D106</f>
        <v>573.12</v>
      </c>
    </row>
    <row r="24" customFormat="false" ht="15" hidden="false" customHeight="true" outlineLevel="0" collapsed="false">
      <c r="A24" s="24" t="s">
        <v>952</v>
      </c>
      <c r="B24" s="43" t="n">
        <f aca="false">B23-B22</f>
        <v>187.12</v>
      </c>
    </row>
    <row r="25" customFormat="false" ht="15" hidden="false" customHeight="true" outlineLevel="0" collapsed="false">
      <c r="A25" s="24" t="s">
        <v>953</v>
      </c>
      <c r="B25" s="44" t="n">
        <f aca="false">IF(B23=0,0,B24/B23)</f>
        <v>0.326493579006142</v>
      </c>
    </row>
    <row r="26" customFormat="false" ht="15" hidden="false" customHeight="true" outlineLevel="0" collapsed="false">
      <c r="A26" s="13" t="s">
        <v>954</v>
      </c>
    </row>
  </sheetData>
  <conditionalFormatting sqref="J5:J19">
    <cfRule type="cellIs" priority="2" operator="notEqual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55"/>
    <col collapsed="false" customWidth="true" hidden="false" outlineLevel="0" max="5" min="5" style="1" width="40"/>
    <col collapsed="false" customWidth="true" hidden="false" outlineLevel="0" max="6" min="6" style="1" width="45"/>
    <col collapsed="false" customWidth="true" hidden="false" outlineLevel="0" max="8" min="7" style="1" width="16"/>
  </cols>
  <sheetData>
    <row r="1" customFormat="false" ht="17.25" hidden="false" customHeight="true" outlineLevel="0" collapsed="false">
      <c r="A1" s="17" t="s">
        <v>955</v>
      </c>
    </row>
    <row r="2" customFormat="false" ht="15" hidden="false" customHeight="true" outlineLevel="0" collapsed="false">
      <c r="A2" s="18" t="s">
        <v>956</v>
      </c>
    </row>
    <row r="4" customFormat="false" ht="15" hidden="false" customHeight="true" outlineLevel="0" collapsed="false">
      <c r="A4" s="14" t="s">
        <v>543</v>
      </c>
      <c r="B4" s="14" t="s">
        <v>957</v>
      </c>
      <c r="C4" s="14" t="s">
        <v>685</v>
      </c>
      <c r="D4" s="14" t="s">
        <v>958</v>
      </c>
      <c r="E4" s="14" t="s">
        <v>959</v>
      </c>
      <c r="F4" s="14" t="s">
        <v>960</v>
      </c>
      <c r="G4" s="14" t="s">
        <v>139</v>
      </c>
      <c r="H4" s="14" t="s">
        <v>547</v>
      </c>
    </row>
    <row r="5" customFormat="false" ht="45.75" hidden="false" customHeight="true" outlineLevel="0" collapsed="false">
      <c r="A5" s="15" t="s">
        <v>961</v>
      </c>
      <c r="B5" s="15" t="s">
        <v>962</v>
      </c>
      <c r="C5" s="15" t="s">
        <v>963</v>
      </c>
      <c r="D5" s="15" t="s">
        <v>964</v>
      </c>
      <c r="E5" s="15" t="s">
        <v>965</v>
      </c>
      <c r="F5" s="15" t="s">
        <v>966</v>
      </c>
      <c r="G5" s="16"/>
      <c r="H5" s="16" t="s">
        <v>550</v>
      </c>
    </row>
    <row r="6" customFormat="false" ht="23.25" hidden="false" customHeight="true" outlineLevel="0" collapsed="false">
      <c r="A6" s="15" t="s">
        <v>967</v>
      </c>
      <c r="B6" s="15" t="s">
        <v>968</v>
      </c>
      <c r="C6" s="15" t="s">
        <v>969</v>
      </c>
      <c r="D6" s="15" t="s">
        <v>970</v>
      </c>
      <c r="E6" s="15" t="s">
        <v>971</v>
      </c>
      <c r="F6" s="15" t="s">
        <v>972</v>
      </c>
      <c r="G6" s="16"/>
      <c r="H6" s="16" t="s">
        <v>550</v>
      </c>
    </row>
    <row r="7" customFormat="false" ht="23.25" hidden="false" customHeight="true" outlineLevel="0" collapsed="false">
      <c r="A7" s="15" t="s">
        <v>973</v>
      </c>
      <c r="B7" s="15" t="s">
        <v>974</v>
      </c>
      <c r="C7" s="15" t="s">
        <v>969</v>
      </c>
      <c r="D7" s="15" t="s">
        <v>975</v>
      </c>
      <c r="E7" s="15" t="s">
        <v>976</v>
      </c>
      <c r="F7" s="15" t="s">
        <v>977</v>
      </c>
      <c r="G7" s="16"/>
      <c r="H7" s="16" t="s">
        <v>550</v>
      </c>
    </row>
    <row r="8" customFormat="false" ht="23.25" hidden="false" customHeight="true" outlineLevel="0" collapsed="false">
      <c r="A8" s="15" t="s">
        <v>978</v>
      </c>
      <c r="B8" s="15" t="s">
        <v>979</v>
      </c>
      <c r="C8" s="15" t="s">
        <v>980</v>
      </c>
      <c r="D8" s="15" t="s">
        <v>981</v>
      </c>
      <c r="E8" s="15" t="s">
        <v>982</v>
      </c>
      <c r="F8" s="15" t="s">
        <v>983</v>
      </c>
      <c r="G8" s="16"/>
      <c r="H8" s="16" t="s">
        <v>550</v>
      </c>
    </row>
    <row r="9" customFormat="false" ht="23.25" hidden="false" customHeight="true" outlineLevel="0" collapsed="false">
      <c r="A9" s="15" t="s">
        <v>984</v>
      </c>
      <c r="B9" s="15" t="s">
        <v>985</v>
      </c>
      <c r="C9" s="15" t="s">
        <v>986</v>
      </c>
      <c r="D9" s="15" t="s">
        <v>987</v>
      </c>
      <c r="E9" s="15" t="s">
        <v>988</v>
      </c>
      <c r="F9" s="15" t="s">
        <v>989</v>
      </c>
      <c r="G9" s="16"/>
      <c r="H9" s="16" t="s">
        <v>550</v>
      </c>
    </row>
    <row r="10" customFormat="false" ht="23.25" hidden="false" customHeight="true" outlineLevel="0" collapsed="false">
      <c r="A10" s="15" t="s">
        <v>990</v>
      </c>
      <c r="B10" s="15" t="s">
        <v>991</v>
      </c>
      <c r="C10" s="15" t="s">
        <v>992</v>
      </c>
      <c r="D10" s="15" t="s">
        <v>993</v>
      </c>
      <c r="E10" s="15" t="s">
        <v>994</v>
      </c>
      <c r="F10" s="15" t="s">
        <v>995</v>
      </c>
      <c r="G10" s="16"/>
      <c r="H10" s="16" t="s">
        <v>550</v>
      </c>
    </row>
    <row r="11" customFormat="false" ht="23.25" hidden="false" customHeight="true" outlineLevel="0" collapsed="false">
      <c r="A11" s="15" t="s">
        <v>996</v>
      </c>
      <c r="B11" s="15" t="s">
        <v>997</v>
      </c>
      <c r="C11" s="15" t="s">
        <v>998</v>
      </c>
      <c r="D11" s="15" t="s">
        <v>999</v>
      </c>
      <c r="E11" s="15" t="s">
        <v>1000</v>
      </c>
      <c r="F11" s="15" t="s">
        <v>1001</v>
      </c>
      <c r="G11" s="16"/>
      <c r="H11" s="16" t="s">
        <v>550</v>
      </c>
    </row>
    <row r="12" customFormat="false" ht="23.25" hidden="false" customHeight="true" outlineLevel="0" collapsed="false">
      <c r="A12" s="15" t="s">
        <v>1002</v>
      </c>
      <c r="B12" s="15" t="s">
        <v>1003</v>
      </c>
      <c r="C12" s="15" t="s">
        <v>1004</v>
      </c>
      <c r="D12" s="15" t="s">
        <v>1005</v>
      </c>
      <c r="E12" s="15" t="s">
        <v>1006</v>
      </c>
      <c r="F12" s="15" t="s">
        <v>1007</v>
      </c>
      <c r="G12" s="16"/>
      <c r="H12" s="16" t="s">
        <v>550</v>
      </c>
    </row>
    <row r="13" customFormat="false" ht="23.25" hidden="false" customHeight="true" outlineLevel="0" collapsed="false">
      <c r="A13" s="15" t="s">
        <v>1008</v>
      </c>
      <c r="B13" s="15" t="s">
        <v>1009</v>
      </c>
      <c r="C13" s="15" t="s">
        <v>1010</v>
      </c>
      <c r="D13" s="15" t="s">
        <v>1011</v>
      </c>
      <c r="E13" s="15" t="s">
        <v>1012</v>
      </c>
      <c r="F13" s="15" t="s">
        <v>1013</v>
      </c>
      <c r="G13" s="16"/>
      <c r="H13" s="16" t="s">
        <v>550</v>
      </c>
    </row>
    <row r="14" customFormat="false" ht="23.25" hidden="false" customHeight="true" outlineLevel="0" collapsed="false">
      <c r="A14" s="15" t="s">
        <v>1014</v>
      </c>
      <c r="B14" s="15" t="s">
        <v>1015</v>
      </c>
      <c r="C14" s="15" t="s">
        <v>1016</v>
      </c>
      <c r="D14" s="15" t="s">
        <v>1017</v>
      </c>
      <c r="E14" s="15" t="s">
        <v>1018</v>
      </c>
      <c r="F14" s="15" t="s">
        <v>1019</v>
      </c>
      <c r="G14" s="16"/>
      <c r="H14" s="16" t="s">
        <v>550</v>
      </c>
    </row>
    <row r="15" customFormat="false" ht="23.25" hidden="false" customHeight="true" outlineLevel="0" collapsed="false">
      <c r="A15" s="15" t="s">
        <v>1020</v>
      </c>
      <c r="B15" s="15" t="s">
        <v>1021</v>
      </c>
      <c r="C15" s="15" t="s">
        <v>1022</v>
      </c>
      <c r="D15" s="15" t="s">
        <v>1023</v>
      </c>
      <c r="E15" s="15" t="s">
        <v>1024</v>
      </c>
      <c r="F15" s="15" t="s">
        <v>1025</v>
      </c>
      <c r="G15" s="16"/>
      <c r="H15" s="16" t="s">
        <v>550</v>
      </c>
    </row>
    <row r="16" customFormat="false" ht="23.25" hidden="false" customHeight="true" outlineLevel="0" collapsed="false">
      <c r="A16" s="15" t="s">
        <v>1026</v>
      </c>
      <c r="B16" s="15" t="s">
        <v>1027</v>
      </c>
      <c r="C16" s="15" t="s">
        <v>1010</v>
      </c>
      <c r="D16" s="15" t="s">
        <v>1028</v>
      </c>
      <c r="E16" s="15" t="s">
        <v>1029</v>
      </c>
      <c r="F16" s="15" t="s">
        <v>1030</v>
      </c>
      <c r="G16" s="16"/>
      <c r="H16" s="16" t="s">
        <v>550</v>
      </c>
    </row>
    <row r="17" customFormat="false" ht="23.25" hidden="false" customHeight="true" outlineLevel="0" collapsed="false">
      <c r="A17" s="15" t="s">
        <v>1031</v>
      </c>
      <c r="B17" s="15" t="s">
        <v>1032</v>
      </c>
      <c r="C17" s="15" t="s">
        <v>1033</v>
      </c>
      <c r="D17" s="15" t="s">
        <v>1034</v>
      </c>
      <c r="E17" s="15" t="s">
        <v>1035</v>
      </c>
      <c r="F17" s="15" t="s">
        <v>1036</v>
      </c>
      <c r="G17" s="16"/>
      <c r="H17" s="16" t="s">
        <v>550</v>
      </c>
    </row>
    <row r="18" customFormat="false" ht="23.25" hidden="false" customHeight="true" outlineLevel="0" collapsed="false">
      <c r="A18" s="15" t="s">
        <v>1037</v>
      </c>
      <c r="B18" s="15" t="s">
        <v>1038</v>
      </c>
      <c r="C18" s="15" t="s">
        <v>1039</v>
      </c>
      <c r="D18" s="15" t="s">
        <v>1040</v>
      </c>
      <c r="E18" s="15" t="s">
        <v>1041</v>
      </c>
      <c r="F18" s="15" t="s">
        <v>1042</v>
      </c>
      <c r="G18" s="16"/>
      <c r="H18" s="16" t="s">
        <v>550</v>
      </c>
    </row>
  </sheetData>
  <dataValidations count="1">
    <dataValidation allowBlank="false" errorStyle="stop" operator="between" showDropDown="false" showErrorMessage="false" showInputMessage="false" sqref="H5:H18" type="list">
      <formula1>"Open,Raised with vendor,Resolved,Accepted"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2026-09-24T09:02:15Z</dcterms:created>
  <dc:creator>openpyxl</dc:creator>
  <dc:description/>
  <dc:language>en-US</dc:language>
  <cp:lastModifiedBy/>
  <dcterms:modified xsi:type="dcterms:W3CDTF">2026-09-24T21:42:47Z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