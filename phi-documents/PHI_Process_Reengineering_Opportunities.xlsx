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tables/table3.xml" ContentType="application/vnd.openxmlformats-officedocument.spreadsheetml.table+xml"/>
  <Override PartName="/xl/tables/table1.xml" ContentType="application/vnd.openxmlformats-officedocument.spreadsheetml.table+xml"/>
  <Override PartName="/xl/tables/table2.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ummary" sheetId="2" state="visible" r:id="rId4"/>
    <sheet name="Re-engineering Map" sheetId="3" state="visible" r:id="rId5"/>
    <sheet name="Before-After Detail" sheetId="4" state="visible" r:id="rId6"/>
    <sheet name="KPI Scorecard" sheetId="5" state="visible" r:id="rId7"/>
    <sheet name="Roadmap"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<sst xmlns="http://schemas.openxmlformats.org/spreadsheetml/2006/main" count="788" uniqueCount="555">
  <si>
    <t xml:space="preserve">PHI Process Re-engineering Opportunities</t>
  </si>
  <si>
    <t xml:space="preserve">Purpose</t>
  </si>
  <si>
    <t xml:space="preserve">Group CIO challenge to Primary Homes Incorporated: where PHI can process faster, see more clearly and report better — without weakening financial controls or compliance — before and through the Odoo 19 rollout.</t>
  </si>
  <si>
    <t xml:space="preserve">Basis</t>
  </si>
  <si>
    <t xml:space="preserve">PHI Enterprise Process Blueprint (SIPOC, BPMN swimlanes, data &amp; interconnection matrix) and the vendor SOW S343096.</t>
  </si>
  <si>
    <t xml:space="preserve">How to read</t>
  </si>
  <si>
    <t xml:space="preserve">Each row of the Re-engineering Map shows, side by side: the current process (grey), the proposed re-engineered process (green), and the justification plus control safeguards (blue). The Before-After Detail sheet expands each opportunity: the full justification (problem, fix, control effect, expected outcome) and the step-by-step process before and after, with what changes and who is affected.</t>
  </si>
  <si>
    <t xml:space="preserve">Waves</t>
  </si>
  <si>
    <t xml:space="preserve">Wave 0 – Now (before BRD): policy and design decisions that shape what gets built. Wave 1 – Odoo build (2027 rollout): designed into the BRD and configured. Wave 2 – After go-live: optimisation once hypercare ends.</t>
  </si>
  <si>
    <t xml:space="preserve">Benefit tags</t>
  </si>
  <si>
    <t xml:space="preserve">Efficiency = less effort or cycle time. Transparency = status and accountability visible. Reporting = faster, consistent, trusted numbers.</t>
  </si>
  <si>
    <t xml:space="preserve">Control principle</t>
  </si>
  <si>
    <t xml:space="preserve">No proposal removes a control. Each moves the control earlier (prevent rather than detect), makes it system-enforced, or makes it evidenced. See the "Controls &amp; compliance safeguards" column.</t>
  </si>
  <si>
    <t xml:space="preserve">Current process</t>
  </si>
  <si>
    <t xml:space="preserve">Taken from the blueprint and SOW. Items marked "to be validated" are assumptions PHI must confirm.</t>
  </si>
  <si>
    <t xml:space="preserve">Targets</t>
  </si>
  <si>
    <t xml:space="preserve">Proposed challenge targets. PHI should record a baseline first (KPI Scorecard sheet) and agree the final target with the process owner.</t>
  </si>
  <si>
    <t xml:space="preserve">Yellow cells</t>
  </si>
  <si>
    <t xml:space="preserve">PHI responses: decision, owner, target date, comments, baselines.</t>
  </si>
  <si>
    <t xml:space="preserve">Example input</t>
  </si>
  <si>
    <t xml:space="preserve">RE-10 → PHI decision "Accept with changes"; Comment "Start with new buyers from Q1 2027; keep PDCs for existing accounts"; Owner "Treasury head".</t>
  </si>
  <si>
    <t xml:space="preserve">Compliance references</t>
  </si>
  <si>
    <t xml:space="preserve">PD 957 (License to Sell), RA 6552 (Maceda Law), RA 10173 (Data Privacy Act), BIR requirements including EOPT invoicing and 2307, PFRS 15. Confirm applicability with PHI Legal, Tax and the external auditor.</t>
  </si>
  <si>
    <t xml:space="preserve">Summary</t>
  </si>
  <si>
    <t xml:space="preserve">Counts update automatically from the Re-engineering Map.</t>
  </si>
  <si>
    <t xml:space="preserve">By wave</t>
  </si>
  <si>
    <t xml:space="preserve">Wave where it starts</t>
  </si>
  <si>
    <t xml:space="preserve">Opportunities</t>
  </si>
  <si>
    <t xml:space="preserve">Efficiency</t>
  </si>
  <si>
    <t xml:space="preserve">Transparency</t>
  </si>
  <si>
    <t xml:space="preserve">Reporting</t>
  </si>
  <si>
    <t xml:space="preserve">Accepted by PHI</t>
  </si>
  <si>
    <t xml:space="preserve">Wave 0 – Now (before BRD)</t>
  </si>
  <si>
    <t xml:space="preserve">Wave 1 – Odoo build (2027 rollout)</t>
  </si>
  <si>
    <t xml:space="preserve">Wave 2 – After go-live</t>
  </si>
  <si>
    <t xml:space="preserve">Total</t>
  </si>
  <si>
    <t xml:space="preserve">Continue into Wave 2 (optimise after go-live)</t>
  </si>
  <si>
    <t xml:space="preserve">By SOW status</t>
  </si>
  <si>
    <t xml:space="preserve">SOW status</t>
  </si>
  <si>
    <t xml:space="preserve">Meaning</t>
  </si>
  <si>
    <t xml:space="preserve">Covered</t>
  </si>
  <si>
    <t xml:space="preserve">SOW already builds the enabler — PHI must adopt the new way of working</t>
  </si>
  <si>
    <t xml:space="preserve">Partial</t>
  </si>
  <si>
    <t xml:space="preserve">Enabler partly in SOW — depends on Appendix A items being priced</t>
  </si>
  <si>
    <t xml:space="preserve">Gap</t>
  </si>
  <si>
    <t xml:space="preserve">Enabler not in SOW — depends on Appendix A items</t>
  </si>
  <si>
    <t xml:space="preserve">Confirm</t>
  </si>
  <si>
    <t xml:space="preserve">Depends on a vendor confirmation (Appendix B)</t>
  </si>
  <si>
    <t xml:space="preserve">Policy</t>
  </si>
  <si>
    <t xml:space="preserve">Policy or governance change only</t>
  </si>
  <si>
    <t xml:space="preserve">Client</t>
  </si>
  <si>
    <t xml:space="preserve">PHI obligation under the SOW</t>
  </si>
  <si>
    <t xml:space="preserve">Check (should equal total opportunities)</t>
  </si>
  <si>
    <t xml:space="preserve">Process change across all opportunities</t>
  </si>
  <si>
    <t xml:space="preserve">Process steps before</t>
  </si>
  <si>
    <t xml:space="preserve">Process steps after</t>
  </si>
  <si>
    <t xml:space="preserve">Manual, paper, re-key or wait steps before</t>
  </si>
  <si>
    <t xml:space="preserve">Automated or system-enforced steps after</t>
  </si>
  <si>
    <t xml:space="preserve">Steps moved earlier or run in parallel</t>
  </si>
  <si>
    <t xml:space="preserve">Share of after-steps automated or system-enforced</t>
  </si>
  <si>
    <t xml:space="preserve">Re-engineering map — current vs proposed, with justification</t>
  </si>
  <si>
    <t xml:space="preserve">Grey = current process · Green = proposed · Blue = justification and control safeguards · Yellow = PHI response.</t>
  </si>
  <si>
    <t xml:space="preserve">ID</t>
  </si>
  <si>
    <t xml:space="preserve">Opportunity</t>
  </si>
  <si>
    <t xml:space="preserve">Blueprint process</t>
  </si>
  <si>
    <t xml:space="preserve">Pain points and control risks</t>
  </si>
  <si>
    <t xml:space="preserve">Proposed re-engineered process</t>
  </si>
  <si>
    <t xml:space="preserve">Justification</t>
  </si>
  <si>
    <t xml:space="preserve">Controls &amp; compliance safeguards</t>
  </si>
  <si>
    <t xml:space="preserve">Benefit</t>
  </si>
  <si>
    <t xml:space="preserve">Wave (start)</t>
  </si>
  <si>
    <t xml:space="preserve">Continues into</t>
  </si>
  <si>
    <t xml:space="preserve">Odoo 19 enabler</t>
  </si>
  <si>
    <t xml:space="preserve">KPI</t>
  </si>
  <si>
    <t xml:space="preserve">Proposed target</t>
  </si>
  <si>
    <t xml:space="preserve">PHI decision</t>
  </si>
  <si>
    <t xml:space="preserve">PHI owner</t>
  </si>
  <si>
    <t xml:space="preserve">Target date</t>
  </si>
  <si>
    <t xml:space="preserve">PHI comments</t>
  </si>
  <si>
    <t xml:space="preserve">RE-01</t>
  </si>
  <si>
    <t xml:space="preserve">Driver-based budget with commitment control</t>
  </si>
  <si>
    <t xml:space="preserve">01</t>
  </si>
  <si>
    <t xml:space="preserve">Annual static budget: departments and PDD fill templates, Finance consolidates, ManCom approves. Spending is checked against budget mainly when the bill arrives.</t>
  </si>
  <si>
    <t xml:space="preserve">Budget is outdated within months. Overspend is found after the commitment is made. Consolidation is heavy manual work.</t>
  </si>
  <si>
    <t xml:space="preserve">Build the budget from drivers (units, prices, cost per sqm, headcount) and reforecast quarterly. Check budget availability at purchase request and reserve the amount (commitment control).</t>
  </si>
  <si>
    <t xml:space="preserve">Overspend is caught before PHI is committed, not after the invoice. Reforecasting replaces most re-budgeting. Drivers make consolidation automatic and explainable.</t>
  </si>
  <si>
    <t xml:space="preserve">Approved baseline locked and versioned. Realignments above threshold need DOA approval. Every override logged.</t>
  </si>
  <si>
    <t xml:space="preserve">Efficiency, Transparency, Reporting</t>
  </si>
  <si>
    <t xml:space="preserve">Wave 1</t>
  </si>
  <si>
    <t xml:space="preserve">Budgets (analytic plans), Purchase approvals, Spreadsheet</t>
  </si>
  <si>
    <t xml:space="preserve">Gap — Appendix A8</t>
  </si>
  <si>
    <t xml:space="preserve">% of POs budget-checked at request; full-year forecast accuracy</t>
  </si>
  <si>
    <t xml:space="preserve">100% of POs; within ±5% by Q3</t>
  </si>
  <si>
    <t xml:space="preserve">RE-02</t>
  </si>
  <si>
    <t xml:space="preserve">One digital Delegation of Authority matrix</t>
  </si>
  <si>
    <t xml:space="preserve">All</t>
  </si>
  <si>
    <t xml:space="preserve">Sequential approval chains defined per document type (e.g., LAD Officer → Head → Legal → Finance → CFO/CEO; Dept Head → OM → Budget Authority), largely on paper and email.</t>
  </si>
  <si>
    <t xml:space="preserve">Long cycle times. Documents wait in inboxes with no visibility of where they are stuck. Thresholds differ by department.</t>
  </si>
  <si>
    <t xml:space="preserve">One Board-approved DOA matrix by document type, amount and risk, configured once in Odoo. Independent reviews (e.g., Legal and Finance) run in parallel. Approval SLAs with auto-escalation. Low-value, in-budget items auto-approved and sampled monthly.</t>
  </si>
  <si>
    <t xml:space="preserve">Removes waiting time, not controls. Every approval is visible with timestamps. One matrix to maintain instead of department-specific rules.</t>
  </si>
  <si>
    <t xml:space="preserve">Requester ≠ approver enforced by the system. Thresholds set by the Board. Monthly post-approval sampling by Internal Audit. Delegations have end dates.</t>
  </si>
  <si>
    <t xml:space="preserve">Efficiency, Transparency</t>
  </si>
  <si>
    <t xml:space="preserve">Approvals, Studio rules, activity SLAs</t>
  </si>
  <si>
    <t xml:space="preserve">Covered (§3.4 approval matrices); PHI defines the DOA</t>
  </si>
  <si>
    <t xml:space="preserve">Median approval cycle time; % approvals within SLA</t>
  </si>
  <si>
    <t xml:space="preserve">≤ 2 working days; ≥ 90% within SLA</t>
  </si>
  <si>
    <t xml:space="preserve">RE-03</t>
  </si>
  <si>
    <t xml:space="preserve">Two-stage land due diligence with deal scorecard</t>
  </si>
  <si>
    <t xml:space="preserve">04</t>
  </si>
  <si>
    <t xml:space="preserve">Due diligence on title, survey, zoning and appraisal runs largely one step after another before ManCom evaluates the deal.</t>
  </si>
  <si>
    <t xml:space="preserve">Fatal flaws (title defects, CARP/DAR coverage, no road access) surface late, after DD spend. ManCom compares deals presented in different formats.</t>
  </si>
  <si>
    <t xml:space="preserve">Stage 1: screen knock-out criteria (title, CARP/DAR, zoning, access) within days. Stage 2: run the full DD workstreams in parallel. Present every deal to ManCom on one standard scorecard (price, yield, risks). One digital deal room per parcel.</t>
  </si>
  <si>
    <t xml:space="preserve">Weak deals stop early, cutting wasted DD cost. Standard scorecards let ManCom decide faster and compare like with like.</t>
  </si>
  <si>
    <t xml:space="preserve">Gate decisions recorded. DD evidence retained per parcel. Broker conflict-of-interest declarations.</t>
  </si>
  <si>
    <t xml:space="preserve">Land Acquisition (lam.lot), DD checklist, Documents</t>
  </si>
  <si>
    <t xml:space="preserve">Covered (§3.3 #19–21)</t>
  </si>
  <si>
    <t xml:space="preserve">Days from opportunity logged to go/no-go; DD spend on rejected deals</t>
  </si>
  <si>
    <t xml:space="preserve">Go/no-go ≤ 15 working days</t>
  </si>
  <si>
    <t xml:space="preserve">RE-04</t>
  </si>
  <si>
    <t xml:space="preserve">Evidence-based land payments and filing calendar</t>
  </si>
  <si>
    <t xml:space="preserve">Milestone payments released on request; tax filings and title transfer tracked manually.</t>
  </si>
  <si>
    <t xml:space="preserve">Risk of paying before conditions are met. Surcharges for late filings. Little visibility of titles in transit.</t>
  </si>
  <si>
    <t xml:space="preserve">Release a milestone payment only when its evidence is uploaded and verified by Legal. Generate a statutory filing calendar (CGT, DST, transfer tax, RD) automatically at deed signing. Keep a titles-in-transit register.</t>
  </si>
  <si>
    <t xml:space="preserve">Paying on evidence prevents premature payments. The calendar avoids penalties. ManCom sees which titles are at risk.</t>
  </si>
  <si>
    <t xml:space="preserve">Legal verifies evidence independently of the requester. Each filing closed with proof of payment.</t>
  </si>
  <si>
    <t xml:space="preserve">Transparency, Efficiency</t>
  </si>
  <si>
    <t xml:space="preserve">Land Acquisition, Approvals, Documents</t>
  </si>
  <si>
    <t xml:space="preserve">Covered (§3.3 #24, #26, #60)</t>
  </si>
  <si>
    <t xml:space="preserve">Filing penalties paid; % milestone payments with verified evidence</t>
  </si>
  <si>
    <t xml:space="preserve">Zero penalties; 100%</t>
  </si>
  <si>
    <t xml:space="preserve">RE-05</t>
  </si>
  <si>
    <t xml:space="preserve">Project templates and a hard License-to-Sell gate</t>
  </si>
  <si>
    <t xml:space="preserve">05</t>
  </si>
  <si>
    <t xml:space="preserve">Each project is set up with its own structure. Permits are tracked separately and selling readiness is judged case by case.</t>
  </si>
  <si>
    <t xml:space="preserve">Inconsistent WBS and cost codes make cross-project comparison hard. Risk of selling before the License to Sell is issued.</t>
  </si>
  <si>
    <t xml:space="preserve">Project templates by type (horizontal, vertical, mixed-use) that clone WBS, cost codes, milestones and required documents. A launch gate with DP and License to Sell as hard criteria before any reservation can be made.</t>
  </si>
  <si>
    <t xml:space="preserve">Setup takes hours instead of weeks, and every project reports the same way. Regulatory exposure from pre-selling is eliminated.</t>
  </si>
  <si>
    <t xml:space="preserve">PD 957: system blocks reservations without an LTS. Gate approval logged.</t>
  </si>
  <si>
    <t xml:space="preserve">Efficiency, Reporting, Transparency</t>
  </si>
  <si>
    <t xml:space="preserve">Project setup wizard, launch-readiness gate</t>
  </si>
  <si>
    <t xml:space="preserve">Partial — LTS gate is Appendix A7</t>
  </si>
  <si>
    <t xml:space="preserve">Project setup time; reservations made before LTS</t>
  </si>
  <si>
    <t xml:space="preserve">≤ 5 working days; zero</t>
  </si>
  <si>
    <t xml:space="preserve">RE-06</t>
  </si>
  <si>
    <t xml:space="preserve">One Group cost-code structure</t>
  </si>
  <si>
    <t xml:space="preserve">01, 06, 16, X2</t>
  </si>
  <si>
    <t xml:space="preserve">Budget, POs, bills and reports may use different cost categories by project or department.</t>
  </si>
  <si>
    <t xml:space="preserve">Project P&amp;L and cost-per-sqm benchmarks need manual mapping. Data migration becomes harder.</t>
  </si>
  <si>
    <t xml:space="preserve">One Group cost breakdown structure and set of analytic plans, used identically in budget, PO, bill, progress billing and reports. Owned by Finance with change control.</t>
  </si>
  <si>
    <t xml:space="preserve">Enables automatic drill-down project P&amp;L and benchmarking across projects and Group affiliates. It is a foundation of the Odoo data model, so it must be settled before BRD.</t>
  </si>
  <si>
    <t xml:space="preserve">Cost-code changes need Finance approval. Analytic account mandatory on every cost line, enforced by the system.</t>
  </si>
  <si>
    <t xml:space="preserve">Reporting, Transparency</t>
  </si>
  <si>
    <t xml:space="preserve">Analytic plans, Chart of Accounts</t>
  </si>
  <si>
    <t xml:space="preserve">Covered (§3.1 F, G analytic enforcement)</t>
  </si>
  <si>
    <t xml:space="preserve">% of cost lines with a valid cost code</t>
  </si>
  <si>
    <t xml:space="preserve">100%</t>
  </si>
  <si>
    <t xml:space="preserve">RE-07</t>
  </si>
  <si>
    <t xml:space="preserve">Measure construction progress once, use it three times</t>
  </si>
  <si>
    <t xml:space="preserve">06, 07, Finance</t>
  </si>
  <si>
    <t xml:space="preserve">Contractor submits an accomplishment report, QS verifies, progress billing is processed, and unit construction status is updated separately.</t>
  </si>
  <si>
    <t xml:space="preserve">The same progress is measured and keyed several times. Disputes over % complete. Revenue (POC) and inventory status lag reality.</t>
  </si>
  <si>
    <t xml:space="preserve">One joint site verification per billing cycle, captured on mobile with geotagged photos and % per BOQ line. The verified % drives progress billing (with retention and recoupment), unit construction status, and the POC input for revenue.</t>
  </si>
  <si>
    <t xml:space="preserve">One measurement feeds three processes, removing re-keying and reconciliations. Photo evidence reduces disputes.</t>
  </si>
  <si>
    <t xml:space="preserve">QS verification independent of the project team. Contractors cannot bill above verified %. Retention and recoupment computed, not typed.</t>
  </si>
  <si>
    <t xml:space="preserve">Project, Purchase, progress photo gallery</t>
  </si>
  <si>
    <t xml:space="preserve">Partial — recoupment/VOs are Appendix A6</t>
  </si>
  <si>
    <t xml:space="preserve">Days from cut-off to approved progress billing; billing disputes</t>
  </si>
  <si>
    <t xml:space="preserve">≤ 7 days</t>
  </si>
  <si>
    <t xml:space="preserve">RE-08</t>
  </si>
  <si>
    <t xml:space="preserve">Pricing governance and a single price source</t>
  </si>
  <si>
    <t xml:space="preserve">07</t>
  </si>
  <si>
    <t xml:space="preserve">Price lists maintained per project; discounts approved case by case.</t>
  </si>
  <si>
    <t xml:space="preserve">Margin leakage from discounts. Inconsistent approvals. Brokers sometimes quote outdated prices.</t>
  </si>
  <si>
    <t xml:space="preserve">Price floor per lot, a discount matrix by authority level, and scheduled price escalations per phase approved by ManCom. Live availability and prices published to brokers only through the portal.</t>
  </si>
  <si>
    <t xml:space="preserve">Protects margin. One version of price and availability for everyone. Fewer calls to Sales admin.</t>
  </si>
  <si>
    <t xml:space="preserve">System blocks under-floor quotes. Discounts beyond the matrix need DOA approval. Price changes logged.</t>
  </si>
  <si>
    <t xml:space="preserve">Pricelists, pricing rules engine, broker portal</t>
  </si>
  <si>
    <t xml:space="preserve">Covered (§3.1 D, H; §3.3 #49)</t>
  </si>
  <si>
    <t xml:space="preserve">Average discount vs list; % of sales with exception discounts</t>
  </si>
  <si>
    <t xml:space="preserve">Exception discounts &lt; 5% of sales</t>
  </si>
  <si>
    <t xml:space="preserve">RE-09</t>
  </si>
  <si>
    <t xml:space="preserve">Digital deal jacket from reservation to CTS</t>
  </si>
  <si>
    <t xml:space="preserve">09</t>
  </si>
  <si>
    <t xml:space="preserve">Reservation, then document collection, credit check, CTS drafting and notarization in sequence, mostly on paper.</t>
  </si>
  <si>
    <t xml:space="preserve">Long reservation-to-CTS cycle. Buyers asked for documents repeatedly. Retyping errors in the CTS. Collections start late.</t>
  </si>
  <si>
    <t xml:space="preserve">Buyer uploads KYC and financing documents at reservation (portal with OCR). Completeness checklist per financing scheme. CTS generated from the confirmed sales order with no retyping. Weekly notarization batches. SLA dashboard from reservation to notarized CTS.</t>
  </si>
  <si>
    <t xml:space="preserve">Cuts cycle time and errors. Buyers submit documents once. Management sees the aging of unsigned CTSs.</t>
  </si>
  <si>
    <t xml:space="preserve">Data Privacy Act (RA 10173) consent and access controls on buyer data. CTS still notarized. Changes after generation need approval.</t>
  </si>
  <si>
    <t xml:space="preserve">CRM, Sales, Sign, Documents (OCR), buyer portal</t>
  </si>
  <si>
    <t xml:space="preserve">Partial — CTS generation is Appendix A2</t>
  </si>
  <si>
    <t xml:space="preserve">Days from reservation to notarized CTS; % of documents complete at reservation</t>
  </si>
  <si>
    <t xml:space="preserve">≤ 30 days; ≥ 80%</t>
  </si>
  <si>
    <t xml:space="preserve">RE-10</t>
  </si>
  <si>
    <t xml:space="preserve">Electronic collections with automatic bank matching</t>
  </si>
  <si>
    <t xml:space="preserve">11</t>
  </si>
  <si>
    <t xml:space="preserve">Buyers pay at the cashier or by check/PDC. Cashier issues receipts. Posting and bank matching are manual.</t>
  </si>
  <si>
    <t xml:space="preserve">PDC handling and bounced checks. Posting delays make SOAs stale. High cashier workload.</t>
  </si>
  <si>
    <t xml:space="preserve">Move buyers to electronic payment using per-buyer bank references (InstaPay, PESONet, bank over-the-counter). Daily bank file (CSV/MT940) auto-matched to the buyer ledger. Invoice issued on posting. Cashier handles exceptions only. No PDCs for new buyers.</t>
  </si>
  <si>
    <t xml:space="preserve">Same-day posting and accurate SOAs. Fewer bounced checks. Less cash-handling risk.</t>
  </si>
  <si>
    <t xml:space="preserve">Daily bank reconciliation. Separate duties for receipting, posting and reconciliation. BIR-registered invoice series (EOPT).</t>
  </si>
  <si>
    <t xml:space="preserve">Accounting bank import (CSV/MT940), reconciliation models</t>
  </si>
  <si>
    <t xml:space="preserve">Partial — bank file import in scope; gateway out of scope (§9)</t>
  </si>
  <si>
    <t xml:space="preserve">% of collections received electronically; posting lag</t>
  </si>
  <si>
    <t xml:space="preserve">≥ 70% within 12 months; ≤ 1 working day</t>
  </si>
  <si>
    <t xml:space="preserve">RE-11</t>
  </si>
  <si>
    <t xml:space="preserve">Collections playbook by aging bucket</t>
  </si>
  <si>
    <t xml:space="preserve">11, 12</t>
  </si>
  <si>
    <t xml:space="preserve">Aging reports reviewed; demand letters prepared manually; cancellation when default persists.</t>
  </si>
  <si>
    <t xml:space="preserve">Late intervention. Inconsistent treatment of buyers. Cancellations that could have been saved.</t>
  </si>
  <si>
    <t xml:space="preserve">Automated reminders before and after due date. Account officer assigned at 30 days past due. Restructuring offer before 60 days. Maceda notice clock started automatically when criteria are met.</t>
  </si>
  <si>
    <t xml:space="preserve">Earlier contact reduces cancellations and refunds. Uniform, defensible treatment. Clear workload per collector.</t>
  </si>
  <si>
    <t xml:space="preserve">Penalty waivers and restructuring need DOA approval. RA 6552 grace periods and notices tracked by the system. Full contact log.</t>
  </si>
  <si>
    <t xml:space="preserve">Payment reminders, customer loans, activities</t>
  </si>
  <si>
    <t xml:space="preserve">Partial — demand letters A5, Maceda A1</t>
  </si>
  <si>
    <t xml:space="preserve">Accounts &gt; 60 days past due; cancellation rate</t>
  </si>
  <si>
    <t xml:space="preserve">Set after baseline; e.g., −25% in year one</t>
  </si>
  <si>
    <t xml:space="preserve">RE-12</t>
  </si>
  <si>
    <t xml:space="preserve">Same-week cancellation and re-listing</t>
  </si>
  <si>
    <t xml:space="preserve">12</t>
  </si>
  <si>
    <t xml:space="preserve">Cancellation computed and approved manually; unit returned to inventory afterwards.</t>
  </si>
  <si>
    <t xml:space="preserve">Slow refunds and re-listing. Computation errors. No insight into why buyers cancel.</t>
  </si>
  <si>
    <t xml:space="preserve">Workflow computes cash surrender value, deductions and commission clawback automatically. Unit re-priced and re-listed the day cancellation takes effect. Cancellation reason codes mandatory.</t>
  </si>
  <si>
    <t xml:space="preserve">Inventory recycles faster. Statutory computation is consistent. Reason codes inform sales and product decisions.</t>
  </si>
  <si>
    <t xml:space="preserve">Maceda computation rules locked. Refund approval per DOA. Reversal journals automatic and auditable.</t>
  </si>
  <si>
    <t xml:space="preserve">Efficiency, Reporting</t>
  </si>
  <si>
    <t xml:space="preserve">Sales, Accounting, custom cancellation workflow</t>
  </si>
  <si>
    <t xml:space="preserve">Gap — Appendix A1</t>
  </si>
  <si>
    <t xml:space="preserve">Days from effective cancellation to re-listing</t>
  </si>
  <si>
    <t xml:space="preserve">≤ 5 working days</t>
  </si>
  <si>
    <t xml:space="preserve">RE-13</t>
  </si>
  <si>
    <t xml:space="preserve">Start loan takeout at reservation</t>
  </si>
  <si>
    <t xml:space="preserve">13</t>
  </si>
  <si>
    <t xml:space="preserve">Loan documents collected after equity is fully paid; takeout tracked by the Loans team.</t>
  </si>
  <si>
    <t xml:space="preserve">Loan approval risk found late. Long gap between equity completion and cash release — PHI's largest single inflow waits.</t>
  </si>
  <si>
    <t xml:space="preserve">Bank / Pag-IBIG pre-qualification at reservation. Loan document pack built during the equity period. Takeout pipeline with lender SLAs and a weekly review. DOAS and title annotation prepared in parallel with lender approval.</t>
  </si>
  <si>
    <t xml:space="preserve">Shorter cash conversion cycle. Financing failures detected months earlier, with time to re-route the buyer.</t>
  </si>
  <si>
    <t xml:space="preserve">Buyer consent for credit checks (Data Privacy Act). Lender correspondence retained. Proceeds matched to the buyer ledger.</t>
  </si>
  <si>
    <t xml:space="preserve">Customer Loans &amp; Financing, Documents</t>
  </si>
  <si>
    <t xml:space="preserve">Partial — Appendix A4</t>
  </si>
  <si>
    <t xml:space="preserve">Days from equity fully paid to loan release; takeout failure rate</t>
  </si>
  <si>
    <t xml:space="preserve">≤ 60 days</t>
  </si>
  <si>
    <t xml:space="preserve">RE-14</t>
  </si>
  <si>
    <t xml:space="preserve">Hands-off commission cycle</t>
  </si>
  <si>
    <t xml:space="preserve">17</t>
  </si>
  <si>
    <t xml:space="preserve">Commissions computed and released by tranche; brokers call for status.</t>
  </si>
  <si>
    <t xml:space="preserve">Manual computation and disputes. Broker follow-up calls. Clawbacks hard to enforce.</t>
  </si>
  <si>
    <t xml:space="preserve">Use the SOW commission engine fully: compute at CTS, release automatically when collection thresholds are hit, broker self-service statements, broker invoice upload before payout, and automatic clawback netting on cancellation.</t>
  </si>
  <si>
    <t xml:space="preserve">Removes manual work and disputes, and builds broker trust.</t>
  </si>
  <si>
    <t xml:space="preserve">EWT computed automatically. Broker BIR invoice required before payment. Clawbacks enforced by netting.</t>
  </si>
  <si>
    <t xml:space="preserve">Sales commissions, broker portal</t>
  </si>
  <si>
    <t xml:space="preserve">Covered (§3.3 #41–47, #53)</t>
  </si>
  <si>
    <t xml:space="preserve">Days from release trigger to payout; disputes per month</t>
  </si>
  <si>
    <t xml:space="preserve">≤ 10 days</t>
  </si>
  <si>
    <t xml:space="preserve">RE-15</t>
  </si>
  <si>
    <t xml:space="preserve">No PO, no pay — with scheduled payment runs</t>
  </si>
  <si>
    <t xml:space="preserve">03, 06, 16</t>
  </si>
  <si>
    <t xml:space="preserve">Requests, POs and bills processed with manual matching; payments released as prepared.</t>
  </si>
  <si>
    <t xml:space="preserve">Bills without POs. Duplicate-payment risk. Frequent ad hoc payment runs.</t>
  </si>
  <si>
    <t xml:space="preserve">'No PO, no pay' policy with defined exemptions (utilities, government fees). Mandatory 3-way match (PO – receipt or accomplishment – bill). Two scheduled payment runs a week. BIR 2307 generated and emailed automatically.</t>
  </si>
  <si>
    <t xml:space="preserve">Fewer exceptions and less rework. Predictable cash outflow. Suppliers get 2307s without asking.</t>
  </si>
  <si>
    <t xml:space="preserve">Duplicate bill detection. Payment runs approved as a batch per DOA. Tolerance limits on price and quantity variances.</t>
  </si>
  <si>
    <t xml:space="preserve">Purchase, Accounting (batch payments), PH localization</t>
  </si>
  <si>
    <t xml:space="preserve">Covered — confirm 2307 outputs (A9)</t>
  </si>
  <si>
    <t xml:space="preserve">% of eligible spend on a PO; ad hoc payment runs per month</t>
  </si>
  <si>
    <t xml:space="preserve">≥ 95%; ≤ 2</t>
  </si>
  <si>
    <t xml:space="preserve">RE-16</t>
  </si>
  <si>
    <t xml:space="preserve">Independent vendor master with bank-change verification</t>
  </si>
  <si>
    <t xml:space="preserve">16</t>
  </si>
  <si>
    <t xml:space="preserve">Vendor records and bank details may be maintained by the same users who process payments (to be validated).</t>
  </si>
  <si>
    <t xml:space="preserve">Payment-fraud risk from unauthorized bank-detail changes. Duplicate vendors distort spend data.</t>
  </si>
  <si>
    <t xml:space="preserve">Central vendor master function. Accreditation through the supplier workflow. Bank-detail changes need a callback verification and a second approval. Duplicate TIN check.</t>
  </si>
  <si>
    <t xml:space="preserve">Closes a common payment-fraud route and keeps vendor data clean for spend analytics.</t>
  </si>
  <si>
    <t xml:space="preserve">Separation between vendor master maintenance and payments. Change log reviewed monthly.</t>
  </si>
  <si>
    <t xml:space="preserve">Contacts, supplier accreditation workflow, access rules</t>
  </si>
  <si>
    <t xml:space="preserve">Covered (§3.1 F accreditation)</t>
  </si>
  <si>
    <t xml:space="preserve">Bank-detail changes without verification; duplicate vendors</t>
  </si>
  <si>
    <t xml:space="preserve">Zero</t>
  </si>
  <si>
    <t xml:space="preserve">RE-17</t>
  </si>
  <si>
    <t xml:space="preserve">TORC paid directly, recharged automatically</t>
  </si>
  <si>
    <t xml:space="preserve">14</t>
  </si>
  <si>
    <t xml:space="preserve">Taxes and other related charges paid through cash advances, then liquidated; recharge to the buyer handled separately.</t>
  </si>
  <si>
    <t xml:space="preserve">Outstanding cash advances. Missed recharges. Manual computation per title.</t>
  </si>
  <si>
    <t xml:space="preserve">Standard TORC computation per lot generated from deed values. Pay agencies directly through AP or e-payment channels where available instead of cash advances. Recharge posted to the buyer ledger automatically.</t>
  </si>
  <si>
    <t xml:space="preserve">Less cash exposure, no missed recharges, faster liquidation.</t>
  </si>
  <si>
    <t xml:space="preserve">No new advance while a liquidation is overdue. Aging of unliquidated advances. Computation audit trail.</t>
  </si>
  <si>
    <t xml:space="preserve">Accounting, Approvals, TORC budget</t>
  </si>
  <si>
    <t xml:space="preserve">Confirm — Appendix B1</t>
  </si>
  <si>
    <t xml:space="preserve">Unliquidated advances &gt; 30 days; % of TORC recharged</t>
  </si>
  <si>
    <t xml:space="preserve">Zero; 100%</t>
  </si>
  <si>
    <t xml:space="preserve">RE-18</t>
  </si>
  <si>
    <t xml:space="preserve">One handover pipeline from RFO to title</t>
  </si>
  <si>
    <t xml:space="preserve">15, 19</t>
  </si>
  <si>
    <t xml:space="preserve">Turnover and title processing handled by different teams with separate tracking.</t>
  </si>
  <si>
    <t xml:space="preserve">Buyers chase status by phone. Titles are delayed. No end-to-end view.</t>
  </si>
  <si>
    <t xml:space="preserve">One pipeline from ready-for-occupancy to title delivery with stage SLAs. Batch title processing per phase (bulk eCAR and RD submissions). Status visible to the buyer in the portal.</t>
  </si>
  <si>
    <t xml:space="preserve">Fewer status calls. Batching cuts per-title time and cost. Management sees the bottlenecks.</t>
  </si>
  <si>
    <t xml:space="preserve">Title custody log (who holds each title). Release only to the buyer or lender with signed acknowledgment.</t>
  </si>
  <si>
    <t xml:space="preserve">Helpdesk, buyer portal, title tab</t>
  </si>
  <si>
    <t xml:space="preserve">Partial — processing is Appendix A10</t>
  </si>
  <si>
    <t xml:space="preserve">Days from full payment to title delivery</t>
  </si>
  <si>
    <t xml:space="preserve">Set after baseline</t>
  </si>
  <si>
    <t xml:space="preserve">RE-19</t>
  </si>
  <si>
    <t xml:space="preserve">Automated monthly revenue recognition</t>
  </si>
  <si>
    <t xml:space="preserve">Finance</t>
  </si>
  <si>
    <t xml:space="preserve">Percentage-of-completion revenue prepared in spreadsheets at period end (to be validated).</t>
  </si>
  <si>
    <t xml:space="preserve">Audit adjustments. Slower close. Method applied inconsistently.</t>
  </si>
  <si>
    <t xml:space="preserve">Compute POC revenue monthly from the single verified progress source (RE-07) and the collectability threshold, using a method agreed with the external auditor.</t>
  </si>
  <si>
    <t xml:space="preserve">Removes a spreadsheet-heavy step from the close and reduces audit adjustments.</t>
  </si>
  <si>
    <t xml:space="preserve">PFRS 15. Method documented and approved. Review before posting.</t>
  </si>
  <si>
    <t xml:space="preserve">Reporting, Efficiency</t>
  </si>
  <si>
    <t xml:space="preserve">Accounting, Project</t>
  </si>
  <si>
    <t xml:space="preserve">Gap — Appendix A3</t>
  </si>
  <si>
    <t xml:space="preserve">Audit adjustments on revenue</t>
  </si>
  <si>
    <t xml:space="preserve">No material adjustments</t>
  </si>
  <si>
    <t xml:space="preserve">RE-20</t>
  </si>
  <si>
    <t xml:space="preserve">Fast close and one management pack</t>
  </si>
  <si>
    <t xml:space="preserve">X2</t>
  </si>
  <si>
    <t xml:space="preserve">Month-end relies on manual consolidation across departments (as described in SOW §2).</t>
  </si>
  <si>
    <t xml:space="preserve">Slow close. Management packs assembled by hand. Numbers differ between reports.</t>
  </si>
  <si>
    <t xml:space="preserve">Close calendar and checklist with named owners. Sub-ledgers post automatically. Intercompany transactions matched across Group entities. Standard management pack generated from Odoo. One KPI dictionary for all reports.</t>
  </si>
  <si>
    <t xml:space="preserve">Faster, consistent numbers and Finance time freed for analysis.</t>
  </si>
  <si>
    <t xml:space="preserve">Close checklist sign-offs. Reconciliations evidenced. Periods locked after close.</t>
  </si>
  <si>
    <t xml:space="preserve">Reporting, Efficiency, Transparency</t>
  </si>
  <si>
    <t xml:space="preserve">Wave 1 → 2</t>
  </si>
  <si>
    <t xml:space="preserve">Accounting (lock dates, intercompany), Spreadsheet dashboards</t>
  </si>
  <si>
    <t xml:space="preserve">Covered (§3.1 G company performance report)</t>
  </si>
  <si>
    <t xml:space="preserve">Working days to close</t>
  </si>
  <si>
    <t xml:space="preserve">≤ 5 at go-live; ≤ 3 after hypercare</t>
  </si>
  <si>
    <t xml:space="preserve">RE-21</t>
  </si>
  <si>
    <t xml:space="preserve">Rolling 13-week cash forecast</t>
  </si>
  <si>
    <t xml:space="preserve">X1, 02</t>
  </si>
  <si>
    <t xml:space="preserve">Cash-flow projections prepared periodically.</t>
  </si>
  <si>
    <t xml:space="preserve">Treasury decisions made on stale information; borrowing timed conservatively.</t>
  </si>
  <si>
    <t xml:space="preserve">Weekly 13-week cash forecast built from system schedules: buyer amortizations, takeout pipeline, AP due dates and loan service. Weekly Treasury review.</t>
  </si>
  <si>
    <t xml:space="preserve">Better timing of borrowing and payments; lower financing cost.</t>
  </si>
  <si>
    <t xml:space="preserve">Forecast versions retained; variance to actual reviewed weekly.</t>
  </si>
  <si>
    <t xml:space="preserve">Wave 2</t>
  </si>
  <si>
    <t xml:space="preserve">Spreadsheet, Accounting, Customer and Company Loans</t>
  </si>
  <si>
    <t xml:space="preserve">Partial — Appendix A13</t>
  </si>
  <si>
    <t xml:space="preserve">Forecast accuracy at week +4</t>
  </si>
  <si>
    <t xml:space="preserve">Within ±10%</t>
  </si>
  <si>
    <t xml:space="preserve">RE-22</t>
  </si>
  <si>
    <t xml:space="preserve">Data ownership and clean-up before migration</t>
  </si>
  <si>
    <t xml:space="preserve">Data is owned by whoever enters it; legacy data in In4 Velocity varies in quality.</t>
  </si>
  <si>
    <t xml:space="preserve">Migration quality decides go-live success. Under the SOW 'CSV Rule', dirty data costs flex days.</t>
  </si>
  <si>
    <t xml:space="preserve">Named data owners for the Lot, buyer, vendor and cost-code masters. Monthly data-quality scorecard. Start cleansing legacy data now: duplicates, missing TINs, buyer-ledger reconciliation to GL.</t>
  </si>
  <si>
    <t xml:space="preserve">Cleaner migration, fewer flex days, and trustworthy reports from day one.</t>
  </si>
  <si>
    <t xml:space="preserve">Master-data changes approved and logged. Reconciled opening balances signed off by Finance.</t>
  </si>
  <si>
    <t xml:space="preserve">Data migration templates</t>
  </si>
  <si>
    <t xml:space="preserve">Client obligation (SOW §7, §8)</t>
  </si>
  <si>
    <t xml:space="preserve">Error rate in mock migration loads</t>
  </si>
  <si>
    <t xml:space="preserve">&lt; 2% by the final mock load</t>
  </si>
  <si>
    <t xml:space="preserve">RE-23</t>
  </si>
  <si>
    <t xml:space="preserve">Named process owners with KPIs</t>
  </si>
  <si>
    <t xml:space="preserve">Processes are run by departments; performance is not measured per end-to-end process.</t>
  </si>
  <si>
    <t xml:space="preserve">Improvements fade after go-live; no one owns cross-department hand-offs.</t>
  </si>
  <si>
    <t xml:space="preserve">Every blueprint process has a named owner and 2–3 KPIs. Monthly process performance review. Improvement backlog kept in the blueprint web app.</t>
  </si>
  <si>
    <t xml:space="preserve">Sustains the gains beyond go-live and makes hand-off problems visible.</t>
  </si>
  <si>
    <t xml:space="preserve">KPI definitions controlled in the KPI dictionary; review minutes retained.</t>
  </si>
  <si>
    <t xml:space="preserve">Transparency, Reporting</t>
  </si>
  <si>
    <t xml:space="preserve">Blueprint web app, Odoo dashboards</t>
  </si>
  <si>
    <t xml:space="preserve">Policy — no SOW impact</t>
  </si>
  <si>
    <t xml:space="preserve">% of processes with an owner and a KPI baseline</t>
  </si>
  <si>
    <t xml:space="preserve">100% before BRD</t>
  </si>
  <si>
    <t xml:space="preserve">Before and after — how each re-engineering changes the process, and why</t>
  </si>
  <si>
    <t xml:space="preserve">Step tags — Before: [Manual] done by hand · [Paper] paper document · [Rekey] same data typed again · [Wait] queue or delay. After: [Auto] system does it · [Rule] system-enforced control · [Parallel] runs at the same time · [Earlier] moved earlier · [New] new step · [Same] unchanged.</t>
  </si>
  <si>
    <t xml:space="preserve">Current process (summary)</t>
  </si>
  <si>
    <t xml:space="preserve">Proposed process (summary)</t>
  </si>
  <si>
    <t xml:space="preserve">1a. Why change: problem and root cause</t>
  </si>
  <si>
    <t xml:space="preserve">1b. How the re-engineering fixes it</t>
  </si>
  <si>
    <t xml:space="preserve">1c. Effect on controls and compliance</t>
  </si>
  <si>
    <t xml:space="preserve">1d. Expected outcome (KPI → target)</t>
  </si>
  <si>
    <t xml:space="preserve">2a. BEFORE — current process steps</t>
  </si>
  <si>
    <t xml:space="preserve">2b. AFTER — re-engineered process steps</t>
  </si>
  <si>
    <t xml:space="preserve">2c. What changes</t>
  </si>
  <si>
    <t xml:space="preserve">2d. Roles affected and how</t>
  </si>
  <si>
    <t xml:space="preserve">Steps before</t>
  </si>
  <si>
    <t xml:space="preserve">Steps after</t>
  </si>
  <si>
    <t xml:space="preserve">The budget is a once-a-year spreadsheet with no link to what PHI actually commits. Spend is checked only when bills post, after PHI is already contractually committed, so the budget reports variances but cannot prevent them.</t>
  </si>
  <si>
    <t xml:space="preserve">A driver model ties the budget to operational reality (units sold, cost per sqm), so a change in drivers updates the budget instead of forcing a re-budget. Checking and reserving budget at the purchase request stops overspend at the cheapest point — before a supplier is engaged.</t>
  </si>
  <si>
    <t xml:space="preserve">Strengthens control: a detective check (variance after posting) becomes a preventive one (block or escalate before commitment). Baseline versions and every override are logged for audit.</t>
  </si>
  <si>
    <t xml:space="preserve">1. [Manual] Finance issues budget templates to departments and PDD
2. [Manual] Departments fill in templates line by line
3. [Rekey] Finance consolidates spreadsheets into one file
4. ManCom reviews and approves the annual budget
5. [Manual] Purchase request raised with no budget check
6. [Manual] PO issued; supplier delivers; bill received
7. [Wait] Overspend found when the bill posts against the budget report
8. [Manual] Budget realignment requested after the fact</t>
  </si>
  <si>
    <t xml:space="preserve">1. [New] Finance sets budget drivers (units, prices, cost per sqm, headcount)
2. [Same] Departments and PDD enter or adjust drivers and assumptions
3. [Auto] System computes and consolidates budget lines from drivers
4. [Same] ManCom approves; baseline locked and versioned
5. [Rule] Purchase request checked against available budget; amount reserved
6. [Rule] Requests over budget routed to the DOA approver before any PO
7. [Auto] PO and bill consume the reserved commitment
8. [New] Quarterly reforecast updates drivers and explains variances</t>
  </si>
  <si>
    <t xml:space="preserve">Consolidation automated. Budget check moved from the bill to the purchase request. After-the-fact realignment replaced by approval before commitment. Quarterly reforecast added.</t>
  </si>
  <si>
    <t xml:space="preserve">Finance: from consolidating spreadsheets to maintaining drivers and explaining variances. Requesters: see available budget when they raise a request. Department heads: approve reforecasts.</t>
  </si>
  <si>
    <t xml:space="preserve">Approval rules differ by department and live in people's heads or on paper routing slips. Approvals run one after another even when reviewers check unrelated things, and nobody can see where a document is waiting.</t>
  </si>
  <si>
    <t xml:space="preserve">One matrix means one set of limits to maintain and audit. Parallel review removes queueing time without removing any reviewer. SLAs and escalation make delays visible. Auto-approval with sampling focuses senior attention on high-value, high-risk items.</t>
  </si>
  <si>
    <t xml:space="preserve">Maintains or strengthens control: approvers and limits come from a Board-approved matrix; the system prevents self-approval; every decision is timestamped; Internal Audit samples auto-approved items monthly.</t>
  </si>
  <si>
    <t xml:space="preserve">1. [Paper] Requester prepares document and routing slip
2. [Manual] Document passed to first approver
3. [Wait] Waits in first approver's inbox
4. [Manual] Passed to second approver (e.g., Legal)
5. [Wait] Waits; then passed to third approver (e.g., Finance)
6. [Wait] Waits; then passed to final approver (CFO/CEO)
7. [Manual] Requester follows up by phone to find the document</t>
  </si>
  <si>
    <t xml:space="preserve">1. [Same] Requester submits document in Odoo
2. [Auto] System selects approvers from the DOA matrix by type, amount and risk
3. [Rule] Low-value, in-budget items auto-approved and flagged for sampling
4. [Parallel] Independent reviewers (e.g., Legal and Finance) approve at the same time
5. [Rule] Approval SLA timer; auto-escalation when overdue
6. [Same] Final approver approves
7. [Auto] Status and full approval history visible to requester</t>
  </si>
  <si>
    <t xml:space="preserve">Routing slips and follow-up calls removed. Approver selection automated. Sequential reviews made parallel where independent. Escalation and sampling added.</t>
  </si>
  <si>
    <t xml:space="preserve">Approvers: see only items they must decide, with deadlines. Requesters: track status without calling. Internal Audit: new monthly sampling of auto-approved items. Board: approves the DOA matrix.</t>
  </si>
  <si>
    <t xml:space="preserve">Due diligence runs as one long sequence, so a fatal flaw (title defect, CARP coverage, no access) may only surface after surveys and appraisals are paid for. ManCom receives deals in different formats, which slows decisions.</t>
  </si>
  <si>
    <t xml:space="preserve">A short knock-out screen kills doomed deals within days. Running the remaining DD workstreams in parallel shortens the elapsed time. A standard scorecard lets ManCom compare deals on the same terms and decide in one sitting.</t>
  </si>
  <si>
    <t xml:space="preserve">Strengthens governance: every gate decision and its evidence is recorded per parcel; broker conflicts of interest are declared up front.</t>
  </si>
  <si>
    <t xml:space="preserve">1. [Manual] Land opportunity received from broker or owner
2. [Manual] Title verification requested
3. [Wait] Survey commissioned after title check
4. [Wait] Zoning and access verified after survey
5. [Wait] Appraisal commissioned
6. [Manual] Deal memo prepared in its own format
7. ManCom evaluates; fatal flaws sometimes found late</t>
  </si>
  <si>
    <t xml:space="preserve">1. [Same] Land opportunity logged in the land module
2. [New] Knock-out screen: title, CARP/DAR, zoning, access (days, not weeks)
3. [Rule] Deals failing any knock-out closed with reason
4. [Parallel] Title, survey, zoning and appraisal run at the same time
5. [Auto] DD results populate the standard deal scorecard
6. ManCom decides go/no-go on the scorecard
7. [Auto] Evidence kept in the parcel's deal room</t>
  </si>
  <si>
    <t xml:space="preserve">Knock-out screen added up front. Sequential DD made parallel. Custom deal memos replaced by a standard scorecard.</t>
  </si>
  <si>
    <t xml:space="preserve">Land acquisition: runs the screen and coordinates parallel DD. Legal, surveyors, appraisers: work in parallel. ManCom: decides from one format.</t>
  </si>
  <si>
    <t xml:space="preserve">Payments to landowners are released on request, so evidence that the milestone was met may be checked late or informally. Tax and title filings are tracked manually, which risks surcharges and lost visibility of titles in transit.</t>
  </si>
  <si>
    <t xml:space="preserve">Payment requests cannot be created until evidence is uploaded and verified. The filing calendar is generated automatically from the deed, so deadlines are never missed. A titles-in-transit register shows where every title is.</t>
  </si>
  <si>
    <t xml:space="preserve">Strengthens control: pay-on-evidence is preventive; verification by Legal separates duties from the requester; each filing closes only with proof of payment (BIR, LGU, RD).</t>
  </si>
  <si>
    <t xml:space="preserve">1. [Manual] Landowner or broker requests milestone payment
2. [Manual] Land team prepares payment request
3. [Manual] Evidence of milestone checked informally, if at all
4. Payment approved and released
5. [Manual] Tax filings tracked in a personal spreadsheet
6. [Wait] Late filing discovered; surcharge paid
7. [Manual] Title status found by asking the liaison</t>
  </si>
  <si>
    <t xml:space="preserve">1. [Rule] Milestone evidence uploaded against the milestone
2. [New] Legal verifies evidence
3. [Auto] Payment request created only after verification
4. [Same] Payment approved per DOA and released
5. [Auto] Filing calendar (CGT, DST, transfer tax, RD) generated at deed signing
6. [Auto] Reminders before each deadline; filing closed with proof of payment
7. [Auto] Title-in-transit register updated at each step</t>
  </si>
  <si>
    <t xml:space="preserve">Informal evidence check replaced by a verification gate. Filing tracking automated with reminders. Title status made visible.</t>
  </si>
  <si>
    <t xml:space="preserve">Legal: new verification step before payment. Land team: uploads evidence instead of chasing approvals. Finance: pays only verified milestones.</t>
  </si>
  <si>
    <t xml:space="preserve">Each project is set up from scratch, so WBS, cost codes and documents differ between projects and cannot be compared. Selling readiness is judged case by case, which risks selling before the License to Sell is issued.</t>
  </si>
  <si>
    <t xml:space="preserve">Templates by project type make setup a copy-and-adjust task and guarantee the same structure across projects. A hard launch gate makes the License to Sell a system condition rather than a reminder.</t>
  </si>
  <si>
    <t xml:space="preserve">Strengthens compliance: PD 957 requirement enforced by the system — no reservation can be created without an LTS. Gate approvals logged.</t>
  </si>
  <si>
    <t xml:space="preserve">1. [Manual] Project team designs WBS and cost codes for the new project
2. [Manual] Finance creates accounts and analytic structure
3. [Manual] Permits tracked in a separate spreadsheet
4. [Manual] Sales told informally the project may launch
5. [Wait] Reservations may start while LTS is pending</t>
  </si>
  <si>
    <t xml:space="preserve">1. [Same] Project team selects the template for the project type
2. [Auto] WBS, cost codes, milestones and required documents cloned
3. [Same] Team adjusts project-specific details
4. [New] Permit register tracks DP, ECC, BP, CR/LTS
5. [Rule] Launch gate blocks reservations until DP and LTS are recorded
6. [Auto] Sales notified when the gate passes</t>
  </si>
  <si>
    <t xml:space="preserve">Manual structure design replaced by templates. Permits moved into the system. Informal launch replaced by a system gate.</t>
  </si>
  <si>
    <t xml:space="preserve">Project Development: configures from templates. Finance: approves template changes only. Sales: can reserve only after the gate passes. Legal/permits: maintains the permit register.</t>
  </si>
  <si>
    <t xml:space="preserve">Cost categories differ across budget, purchasing, billing and reporting, so every cross-project report needs manual mapping. This also makes the Odoo data model and migration harder.</t>
  </si>
  <si>
    <t xml:space="preserve">A single cost breakdown structure used in every transaction means project P&amp;L and cost-per-sqm benchmarks come straight from the system. Settling it before BRD avoids rebuilding reports later.</t>
  </si>
  <si>
    <t xml:space="preserve">Strengthens reporting integrity: analytic tagging mandatory on every cost line; cost-code changes controlled by Finance.</t>
  </si>
  <si>
    <t xml:space="preserve">1. [Manual] Budget uses its own cost categories
2. [Manual] POs coded to different categories
3. [Manual] Bills coded by AP staff judgment
4. [Rekey] Finance maps categories for each project report
5. [Manual] Cross-project benchmarks built by hand</t>
  </si>
  <si>
    <t xml:space="preserve">1. [New] Finance publishes one Group cost-code structure
2. [Rule] Budget, PO, bill and progress billing all require a valid cost code
3. [Auto] Costs roll up by project, phase and cost code
4. [Auto] Project P&amp;L and cost-per-sqm benchmarks generated
5. [Rule] New cost codes added only through Finance change control</t>
  </si>
  <si>
    <t xml:space="preserve">Manual mapping removed. Cost code mandatory at every transaction. Benchmarks generated automatically.</t>
  </si>
  <si>
    <t xml:space="preserve">Finance: owns the structure. Requesters and AP: choose from one list. Management: gets comparable project reports.</t>
  </si>
  <si>
    <t xml:space="preserve">Construction progress is measured separately for contractor billing, unit status and revenue, so the same fact is keyed and reconciled several times and the numbers can disagree.</t>
  </si>
  <si>
    <t xml:space="preserve">One verified measurement per cycle becomes the single source for billing, inventory status and revenue. Mobile capture with photos provides evidence and shortens disputes.</t>
  </si>
  <si>
    <t xml:space="preserve">Strengthens control: QS verification independent of the project team; contractors cannot bill above verified progress; retention and recoupment computed by rule, not typed.</t>
  </si>
  <si>
    <t xml:space="preserve">1. [Paper] Contractor submits accomplishment report
2. [Manual] QS reviews report and visits site
3. [Manual] Progress billing prepared; retention computed by hand
4. [Rekey] Engineering updates unit construction status separately
5. [Rekey] Finance collects % completion again for revenue
6. [Manual] Differences between the three figures reconciled</t>
  </si>
  <si>
    <t xml:space="preserve">1. [Same] Contractor submits billing claim in the portal or system
2. [New] Joint site verification captured on mobile with geotagged photos
3. [Rule] QS verifies % complete per BOQ line
4. [Auto] Progress billing computed with retention and recoupment
5. [Auto] Unit construction status updated from verified %
6. [Auto] Verified % feeds POC revenue input</t>
  </si>
  <si>
    <t xml:space="preserve">Two re-keying steps and the reconciliation removed. Retention and recoupment automated. Photo evidence added.</t>
  </si>
  <si>
    <t xml:space="preserve">QS: verifies once, on mobile. Engineering: no separate status update. Finance: uses verified % directly. Contractors: bill against verified progress.</t>
  </si>
  <si>
    <t xml:space="preserve">Discounts are approved case by case with no consistent limits, and brokers may quote from outdated price lists, which leaks margin and creates disputes.</t>
  </si>
  <si>
    <t xml:space="preserve">A price floor and discount matrix set the limits once; the system enforces them. Publishing prices and availability only through the portal means everyone works from the same live data.</t>
  </si>
  <si>
    <t xml:space="preserve">Strengthens control: under-floor quotes blocked; discounts above the matrix need DOA approval; every price change logged.</t>
  </si>
  <si>
    <t xml:space="preserve">1. [Manual] Sales admin maintains price list per project
2. [Manual] Price list sent to brokers by email
3. [Manual] Broker requests a special discount
4. [Wait] Discount approved case by case
5. [Manual] Availability confirmed by phone</t>
  </si>
  <si>
    <t xml:space="preserve">1. [New] ManCom approves price floors, discount matrix and escalation schedule
2. [Auto] Prices and availability published live on the broker portal
3. [Rule] Discounts within the matrix applied at quotation
4. [Rule] Discounts beyond the matrix routed to DOA approver
5. [Rule] Quotes below the floor blocked
6. [Auto] Scheduled price escalations applied to unsold lots</t>
  </si>
  <si>
    <t xml:space="preserve">Emailed price lists and phone checks removed. Case-by-case approvals replaced by a matrix. Floor enforced by the system.</t>
  </si>
  <si>
    <t xml:space="preserve">ManCom: sets pricing policy. Sales admin: maintains data, not email lists. Brokers: self-serve prices and availability. Approvers: see only exceptions.</t>
  </si>
  <si>
    <t xml:space="preserve">Reservation, documentation, credit check and contract drafting happen one after another on paper. Buyers are asked for documents more than once, and CTS details are retyped, so errors and delays push back the start of collections.</t>
  </si>
  <si>
    <t xml:space="preserve">Collecting documents once at reservation, with a checklist per financing scheme, removes repeat requests. Generating the CTS from the confirmed sales order removes retyping. An SLA dashboard makes delays visible.</t>
  </si>
  <si>
    <t xml:space="preserve">Strengthens compliance: Data Privacy Act consent captured at upload; access restricted by role; CTS still notarized; post-generation changes need approval.</t>
  </si>
  <si>
    <t xml:space="preserve">1. [Paper] Buyer signs reservation form and pays reservation fee
2. [Wait] Sales admin later requests documents
3. [Manual] Buyer submits documents in several rounds
4. [Manual] Credit check performed
5. [Rekey] CTS typed from the reservation and computation
6. [Manual] CTS signed and sent for notarization individually</t>
  </si>
  <si>
    <t xml:space="preserve">1. [Same] Buyer reserves and pays reservation fee
2. [Earlier] Buyer uploads KYC and financing documents at reservation (OCR)
3. [Auto] Completeness checked against the scheme's checklist
4. [Same] Credit check performed
5. [Auto] CTS generated from the confirmed sales order
6. [New] Weekly notarization batches
7. [Auto] SLA dashboard tracks reservation-to-CTS aging</t>
  </si>
  <si>
    <t xml:space="preserve">Document collection moved to reservation. CTS retyping removed. Notarization batched. SLA tracking added.</t>
  </si>
  <si>
    <t xml:space="preserve">Buyers: submit documents once. Sales admin: checks completeness instead of chasing. Contracts: reviews generated CTSs. Management: monitors aging.</t>
  </si>
  <si>
    <t xml:space="preserve">Most payments arrive at the cashier or as checks, so posting depends on manual matching and statements of account lag reality. PDCs create handling risk and bounced-check follow-up.</t>
  </si>
  <si>
    <t xml:space="preserve">Giving each buyer a unique bank reference lets the daily bank file be matched to the right ledger automatically. The cashier handles only exceptions, and SOAs are current the same day.</t>
  </si>
  <si>
    <t xml:space="preserve">Maintains segregation (receipting, posting, reconciliation by different people), adds daily reconciliation, and issues BIR-registered invoices on posting in line with EOPT.</t>
  </si>
  <si>
    <t xml:space="preserve">1. [Manual] Buyer pays at cashier or issues check / PDC
2. [Paper] Cashier issues receipt
3. [Manual] PDCs stored and deposited on due dates
4. [Manual] Deposits matched to buyers by hand
5. [Wait] Posting lag; SOA outdated
6. [Manual] Bounced checks followed up</t>
  </si>
  <si>
    <t xml:space="preserve">1. [New] Buyer assigned a unique bank payment reference
2. [Same] Buyer pays by InstaPay, PESONet or bank over-the-counter
3. [Auto] Daily bank file (CSV/MT940) imported and matched to buyer ledger
4. [Auto] Invoice issued on posting; SOA updated same day
5. [Rule] Unmatched items routed to cashier as exceptions
6. [Rule] Daily bank reconciliation signed off</t>
  </si>
  <si>
    <t xml:space="preserve">Manual matching and PDC handling removed for new buyers. Posting automated. Cashier role narrowed to exceptions.</t>
  </si>
  <si>
    <t xml:space="preserve">Treasury: sets up bank references. Cashier: handles exceptions. Accounting: reviews reconciliation. Buyers: pay without visiting.</t>
  </si>
  <si>
    <t xml:space="preserve">Collection effort starts when aging reports are reviewed, often weeks after a missed payment, and treatment varies by collector. Accounts slide into cancellation that earlier contact could have prevented.</t>
  </si>
  <si>
    <t xml:space="preserve">A playbook by aging bucket starts contact automatically before and just after due date, assigns an officer at 30 days, and offers restructuring before 60 days — while the Maceda clock is tracked by the system.</t>
  </si>
  <si>
    <t xml:space="preserve">Strengthens compliance: RA 6552 grace periods and notices tracked automatically; penalty waivers and restructuring require DOA approval; full contact log.</t>
  </si>
  <si>
    <t xml:space="preserve">1. [Manual] Monthly aging report reviewed
2. [Manual] Collector calls overdue buyers as time allows
3. [Manual] Demand letters drafted individually
4. [Wait] Account continues to age
5. [Manual] Cancellation considered when default persists</t>
  </si>
  <si>
    <t xml:space="preserve">1. [Auto] Reminders sent before and after due date
2. [Rule] Account officer assigned automatically at 30 days past due
3. [Auto] Demand letter generated from template
4. [New] Restructuring offer before 60 days, approved per DOA
5. [Auto] Maceda grace period and notice clock started when criteria are met
6. [Same] Cancellation only after statutory steps are complete</t>
  </si>
  <si>
    <t xml:space="preserve">Contact moved earlier and automated. Demand letters generated. Restructuring step added before cancellation.</t>
  </si>
  <si>
    <t xml:space="preserve">Collectors: work an assigned queue. Credit head: approves restructuring. Legal: receives cases only after statutory steps.</t>
  </si>
  <si>
    <t xml:space="preserve">Cancellations are computed and approved manually, then the unit is returned to inventory, so refunds and re-listing are slow and the reasons buyers cancel are not captured.</t>
  </si>
  <si>
    <t xml:space="preserve">The workflow computes cash surrender value, deductions and clawback in one step and re-lists the unit the day cancellation takes effect. Mandatory reason codes turn cancellations into sales insight.</t>
  </si>
  <si>
    <t xml:space="preserve">Strengthens compliance: Maceda computation rules locked; refund approval per DOA; reversals posted automatically with an audit trail.</t>
  </si>
  <si>
    <t xml:space="preserve">1. [Manual] Cancellation request or default confirmed
2. [Manual] Refund or forfeiture computed in a spreadsheet
3. [Wait] Approvals gathered
4. [Manual] Accounting reverses receivable and revenue
5. [Manual] Commission clawback computed separately
6. [Wait] Unit returned to inventory later
7. [Manual] Unit re-priced and re-listed</t>
  </si>
  <si>
    <t xml:space="preserve">1. [Same] Cancellation initiated with a mandatory reason code
2. [Auto] Cash surrender value, deductions and clawback computed
3. [Same] Approval per DOA
4. [Auto] Reversal journals and refund payable posted
5. [Auto] Unit status set to available on the effective date
6. [Auto] Unit re-priced per current price list and re-listed</t>
  </si>
  <si>
    <t xml:space="preserve">Spreadsheet computations removed. Reversals and clawback automated. Re-listing immediate. Reason codes added.</t>
  </si>
  <si>
    <t xml:space="preserve">Credit &amp; collection: initiates with reason. Accounting: reviews auto-postings. Sales admin: no manual re-listing. Sales and marketing: use reason-code reports.</t>
  </si>
  <si>
    <t xml:space="preserve">Loan documents are collected only after equity is paid, so a buyer who cannot get financing is discovered late, and PHI's largest cash inflow waits while documents are gathered.</t>
  </si>
  <si>
    <t xml:space="preserve">Pre-qualifying at reservation and building the document pack during the equity period means the loan can be filed as soon as equity completes. A pipeline with lender SLAs makes delays visible weekly.</t>
  </si>
  <si>
    <t xml:space="preserve">Maintains control: buyer consent for credit checks under the Data Privacy Act; lender correspondence retained; proceeds matched to the buyer ledger.</t>
  </si>
  <si>
    <t xml:space="preserve">1. [Same] Buyer pays equity over months
2. [Wait] Equity completed
3. [Manual] Loans team requests loan documents
4. [Wait] Documents gathered
5. [Manual] Loan filed with bank or Pag-IBIG
6. [Wait] Approval; financing problems found at this point
7. [Manual] DOAS and title annotation prepared
8. [Wait] Proceeds released</t>
  </si>
  <si>
    <t xml:space="preserve">1. [Earlier] Pre-qualification with bank or Pag-IBIG at reservation
2. [Earlier] Loan document pack built during the equity period
3. [Auto] Loan filed as soon as equity completes
4. [New] Takeout pipeline reviewed weekly against lender SLAs
5. [Parallel] DOAS and title annotation prepared while approval is pending
6. [Auto] Proceeds matched to the buyer ledger on release</t>
  </si>
  <si>
    <t xml:space="preserve">Pre-qualification and document collection moved earlier. DOAS preparation made parallel. Weekly pipeline review added.</t>
  </si>
  <si>
    <t xml:space="preserve">Loans team: works during the equity period, not after. Sales: explains pre-qualification at reservation. Titling: prepares documents in parallel. Treasury: sees expected proceeds.</t>
  </si>
  <si>
    <t xml:space="preserve">Commissions are computed and released by hand, brokers call for status, and clawbacks are hard to enforce once paid.</t>
  </si>
  <si>
    <t xml:space="preserve">The commission engine already in the SOW computes at CTS and releases on collection thresholds. Brokers see their own statements, and clawbacks are netted automatically against future payouts.</t>
  </si>
  <si>
    <t xml:space="preserve">Strengthens control: EWT computed automatically; payout only after a BIR-compliant broker invoice is uploaded; clawbacks enforced by netting.</t>
  </si>
  <si>
    <t xml:space="preserve">1. [Manual] Sales admin computes commission per sale
2. [Manual] Collection status checked to decide releases
3. [Manual] Voucher prepared and approved
4. [Manual] Broker calls for status
5. [Manual] Clawback on cancellation tracked separately</t>
  </si>
  <si>
    <t xml:space="preserve">1. [Auto] Commission computed when the CTS is confirmed
2. [Auto] Tranche released when the collection threshold is reached
3. [Rule] Broker uploads invoice before payout
4. [Auto] Voucher with EWT generated and routed per DOA
5. [Auto] Broker sees statement on the portal
6. [Auto] Clawbacks netted against the next payout</t>
  </si>
  <si>
    <t xml:space="preserve">Computation, release and clawback automated. Status calls replaced by self-service.</t>
  </si>
  <si>
    <t xml:space="preserve">Sales admin: handles exceptions and disputes. Brokers: self-serve. AP: pays vouchers generated by the system.</t>
  </si>
  <si>
    <t xml:space="preserve">Bills without POs and ad hoc payment runs make spending hard to control and cash outflow hard to predict. Manual matching leaves room for duplicate payments.</t>
  </si>
  <si>
    <t xml:space="preserve">'No PO, no pay' makes the PO the gate for spend. Three-way matching lets the system check quantities and prices. Two scheduled payment runs a week make outflows predictable, and 2307s go out automatically.</t>
  </si>
  <si>
    <t xml:space="preserve">Strengthens control: duplicate bill detection, tolerance limits on variances, batch approval of payment runs per DOA; BIR 2307 issued consistently.</t>
  </si>
  <si>
    <t xml:space="preserve">1. [Manual] Supplier delivers; bill may arrive without a PO
2. [Manual] AP matches bill to documents by hand
3. [Manual] Payment prepared when requested
4. [Manual] Ad hoc payment runs as needed
5. [Manual] 2307 prepared on supplier request</t>
  </si>
  <si>
    <t xml:space="preserve">1. [Rule] PO required for all non-exempt spend
2. [Same] Supplier delivers against the PO
3. [Auto] Three-way match: PO, receipt or accomplishment, bill
4. [Rule] Variances beyond tolerance routed for approval
5. [New] Two scheduled payment runs a week, approved as a batch
6. [Auto] BIR 2307 generated and emailed with payment</t>
  </si>
  <si>
    <t xml:space="preserve">Manual matching automated. Ad hoc payments replaced by scheduled runs. 2307 automated.</t>
  </si>
  <si>
    <t xml:space="preserve">Requesters: must raise POs. AP: handles exceptions. Treasury: plans two runs a week. Suppliers: receive 2307s automatically.</t>
  </si>
  <si>
    <t xml:space="preserve">When the same people can change vendor bank details and process payments, a single person could redirect a payment. Duplicate vendor records also distort spend analysis.</t>
  </si>
  <si>
    <t xml:space="preserve">Separating vendor master maintenance from payments, and verifying every bank-detail change by callback with a second approval, closes one of the most common payment-fraud routes.</t>
  </si>
  <si>
    <t xml:space="preserve">Strengthens control: segregation of duties between vendor master and payments; monthly review of the change log; duplicate TIN check.</t>
  </si>
  <si>
    <t xml:space="preserve">1. [Manual] Supplier sends new bank details by email or letter
2. [Manual] AP staff updates vendor record
3. [Same] Payments processed to the updated account
4. [Manual] Duplicate vendors created when names differ</t>
  </si>
  <si>
    <t xml:space="preserve">1. [Same] Supplier submits change through the accreditation workflow
2. [New] Vendor master team calls back on a known number to verify
3. [Rule] Second approver confirms the change
4. [Rule] Duplicate TIN check blocks duplicate vendors
5. [Auto] Change log reviewed monthly</t>
  </si>
  <si>
    <t xml:space="preserve">Unverified changes removed. Callback and second approval added. Duplicate check automated.</t>
  </si>
  <si>
    <t xml:space="preserve">Vendor master team: new owner of vendor data. AP: can no longer edit bank details. Internal Audit: reviews the change log.</t>
  </si>
  <si>
    <t xml:space="preserve">Taxes and other related charges are paid through cash advances that must be liquidated, and recharges to the buyer are handled separately, so advances age and recharges are missed.</t>
  </si>
  <si>
    <t xml:space="preserve">Computing TORC per lot from deed values, paying agencies directly where e-payment exists, and posting the recharge to the buyer ledger automatically removes both the cash exposure and the missed recharges.</t>
  </si>
  <si>
    <t xml:space="preserve">Strengthens control: no new advance while a liquidation is overdue; aging of unliquidated advances; computation audit trail.</t>
  </si>
  <si>
    <t xml:space="preserve">1. [Manual] Titling computes TORC per title
2. [Manual] Cash advance requested
3. [Manual] Liaison pays agencies in cash or check
4. [Wait] Liquidation submitted later
5. [Manual] Recharge to buyer posted separately, if remembered</t>
  </si>
  <si>
    <t xml:space="preserve">1. [Auto] TORC computed per lot from deed values
2. [New] Agencies paid directly through AP or e-payment where available
3. [Rule] Cash advance only where direct payment is impossible
4. [Rule] No new advance while a liquidation is overdue
5. [Auto] Recharge posted to the buyer ledger</t>
  </si>
  <si>
    <t xml:space="preserve">Manual computation automated. Most cash advances removed. Recharge automated.</t>
  </si>
  <si>
    <t xml:space="preserve">Titling: files and tracks rather than handling cash. AP: pays agencies. Credit &amp; collection: sees recharges on the SOA.</t>
  </si>
  <si>
    <t xml:space="preserve">Turnover and title processing are tracked by separate teams, so there is no end-to-end view and buyers call to ask about status.</t>
  </si>
  <si>
    <t xml:space="preserve">One pipeline with stage SLAs from ready-for-occupancy to title delivery gives a single view. Batching title work per phase reduces effort per title. Buyer portal visibility cuts status calls.</t>
  </si>
  <si>
    <t xml:space="preserve">Strengthens control: title custody log shows who holds each title; release only to buyer or lender with signed acknowledgment.</t>
  </si>
  <si>
    <t xml:space="preserve">1. [Manual] Construction reports unit ready
2. [Manual] Customer care schedules turnover
3. [Manual] Titling processes titles one at a time
4. [Manual] Buyer calls for status
5. [Paper] Title released with a logbook entry</t>
  </si>
  <si>
    <t xml:space="preserve">1. [Same] Unit marked ready for occupancy
2. [Auto] Unit enters the handover pipeline with stage SLAs
3. [Same] Turnover inspection and acceptance
4. [New] Titles processed in batches per phase
5. [Auto] Buyer sees status in the portal
6. [Rule] Title released only with signed acknowledgment; custody logged</t>
  </si>
  <si>
    <t xml:space="preserve">Separate tracking replaced by one pipeline. Per-title processing batched. Status calls replaced by portal visibility.</t>
  </si>
  <si>
    <t xml:space="preserve">Customer care and Titling: share one pipeline. Buyers: self-serve status. Management: sees bottlenecks.</t>
  </si>
  <si>
    <t xml:space="preserve">Revenue under percentage of completion is computed in spreadsheets at period end (to be validated), which slows the close and invites audit adjustments.</t>
  </si>
  <si>
    <t xml:space="preserve">Using the verified progress from RE-07 and the collectability threshold, the system computes POC revenue every month with a method agreed with the auditor.</t>
  </si>
  <si>
    <t xml:space="preserve">Strengthens compliance: PFRS 15 method documented and approved; computation reproducible; review before posting.</t>
  </si>
  <si>
    <t xml:space="preserve">1. [Manual] Finance collects % completion from Engineering
2. [Manual] Collections % compiled from ledgers
3. [Manual] POC revenue computed in a spreadsheet
4. [Manual] Journal entry prepared and posted
5. [Wait] Auditor adjustments at year-end</t>
  </si>
  <si>
    <t xml:space="preserve">1. [Auto] Verified % completion pulled from the construction record
2. [Auto] Collectability threshold checked per contract
3. [Auto] POC revenue computed monthly
4. [Same] Finance reviews and approves
5. [Auto] Journal posted with supporting detail</t>
  </si>
  <si>
    <t xml:space="preserve">Data gathering and computation automated. Monthly instead of period-end effort.</t>
  </si>
  <si>
    <t xml:space="preserve">Finance: reviews rather than computes. Engineering: no separate reporting. External auditor: agrees the method once.</t>
  </si>
  <si>
    <t xml:space="preserve">Month-end depends on manual consolidation across departments, so the close is slow and reports disagree depending on who prepared them.</t>
  </si>
  <si>
    <t xml:space="preserve">A close calendar with owners, automatic sub-ledger postings, intercompany matching and one KPI dictionary produce a single management pack from the system.</t>
  </si>
  <si>
    <t xml:space="preserve">Strengthens control: checklist sign-offs, evidenced reconciliations, periods locked after close.</t>
  </si>
  <si>
    <t xml:space="preserve">1. [Manual] Departments send data to Finance
2. [Rekey] Finance consolidates in spreadsheets
3. [Manual] Intercompany balances reconciled by email
4. [Manual] Management pack built by hand
5. [Manual] Figures questioned across reports</t>
  </si>
  <si>
    <t xml:space="preserve">1. [New] Close calendar with named owners and deadlines
2. [Auto] Sub-ledgers post to the GL
3. [Auto] Intercompany transactions matched across Group entities
4. [Rule] Checklist sign-off; period locked
5. [Auto] Management pack generated from one KPI dictionary</t>
  </si>
  <si>
    <t xml:space="preserve">Consolidation and pack preparation automated. Intercompany matching automated. Close governed by calendar and checklist.</t>
  </si>
  <si>
    <t xml:space="preserve">Finance: analyses instead of compiling. Department heads: own close tasks. Group: receives consistent packs across affiliates.</t>
  </si>
  <si>
    <t xml:space="preserve">Cash projections are prepared periodically from separate sources, so Treasury decides on borrowing and payments with stale data.</t>
  </si>
  <si>
    <t xml:space="preserve">Building the forecast weekly from system schedules — buyer amortizations, takeout pipeline, AP due dates and loan service — gives a current 13-week view.</t>
  </si>
  <si>
    <t xml:space="preserve">Maintains control: forecast versions retained; variance to actual reviewed weekly.</t>
  </si>
  <si>
    <t xml:space="preserve">1. [Manual] Treasury requests inputs from departments
2. [Rekey] Inputs combined in a spreadsheet
3. [Wait] Projection updated periodically</t>
  </si>
  <si>
    <t xml:space="preserve">1. [Auto] Collections, takeout, AP and loan schedules pulled from Odoo
2. [Auto] 13-week forecast refreshed weekly
3. [New] Weekly Treasury review of forecast vs actual</t>
  </si>
  <si>
    <t xml:space="preserve">Manual input gathering removed. Refresh made weekly. Variance review added.</t>
  </si>
  <si>
    <t xml:space="preserve">Treasury: reviews and acts. Departments: no manual inputs. ManCom: sees a current forecast.</t>
  </si>
  <si>
    <t xml:space="preserve">Legacy data varies in quality and has no clear owner. Under the SOW, data that does not fit the vendor's templates is corrected using PHI's limited flex days.</t>
  </si>
  <si>
    <t xml:space="preserve">Named owners and a monthly quality scorecard give accountability now. Cleaning duplicates, missing TINs and ledger mismatches before migration reduces rework, flex drawdown and go-live risk.</t>
  </si>
  <si>
    <t xml:space="preserve">Strengthens reporting integrity: master-data changes approved and logged; opening balances reconciled and signed off by Finance.</t>
  </si>
  <si>
    <t xml:space="preserve">1. [Manual] Data entered by whoever handles the transaction
2. [Wait] Errors found when reports look wrong
3. [Manual] Migration data extracted close to go-live
4. [Manual] Errors fixed under time pressure</t>
  </si>
  <si>
    <t xml:space="preserve">1. [New] Data owners named for Lot, buyer, vendor and cost-code masters
2. [New] Monthly data-quality scorecard
3. [Earlier] Cleansing starts now in In4 Velocity
4. [Auto] Mock migration loads validated against templates
5. [Rule] Opening balances signed off by Finance</t>
  </si>
  <si>
    <t xml:space="preserve">Clean-up moved months earlier. Ownership and measurement added.</t>
  </si>
  <si>
    <t xml:space="preserve">Data owners: accountable for quality. Finance: signs off balances. IT: runs mock loads.</t>
  </si>
  <si>
    <t xml:space="preserve">Processes are run by departments, so no one owns end-to-end performance or the hand-offs between departments, and improvements fade after go-live.</t>
  </si>
  <si>
    <t xml:space="preserve">A named owner with two or three KPIs per process, a monthly review and a backlog in the blueprint app keep improvements going after the vendor leaves.</t>
  </si>
  <si>
    <t xml:space="preserve">Strengthens governance: KPI definitions controlled; review decisions minuted.</t>
  </si>
  <si>
    <t xml:space="preserve">1. [Manual] Each department reports its own metrics
2. [Wait] Cross-department problems raised only when they escalate</t>
  </si>
  <si>
    <t xml:space="preserve">1. [New] Named owner and KPIs per blueprint process
2. [New] Monthly process performance review
3. [Auto] KPI dashboards from Odoo
4. [New] Improvement backlog tracked in the blueprint app</t>
  </si>
  <si>
    <t xml:space="preserve">Process ownership and a regular review cycle added.</t>
  </si>
  <si>
    <t xml:space="preserve">Process owners: accountable end to end. ManCom: reviews monthly. Group CIO: tracks progress across affiliates.</t>
  </si>
  <si>
    <t xml:space="preserve">Step counts are formulas that count the numbered lines and tags in columns J and K, so they update if you edit the steps. The "before" steps are PHI's current process as mapped in the blueprint and should be validated by each process owner.</t>
  </si>
  <si>
    <t xml:space="preserve">KPI scorecard — baseline before BRD, track through go-live</t>
  </si>
  <si>
    <t xml:space="preserve">Record the current baseline now, so improvements can be proven after the Odoo rollout.</t>
  </si>
  <si>
    <t xml:space="preserve">Baseline (current)</t>
  </si>
  <si>
    <t xml:space="preserve">Baseline date</t>
  </si>
  <si>
    <t xml:space="preserve">Agreed target</t>
  </si>
  <si>
    <t xml:space="preserve">KPI owner</t>
  </si>
  <si>
    <t xml:space="preserve">Measure frequency</t>
  </si>
  <si>
    <t xml:space="preserve">Value at go-live</t>
  </si>
  <si>
    <t xml:space="preserve">Value after hypercare</t>
  </si>
  <si>
    <t xml:space="preserve">Monthly</t>
  </si>
  <si>
    <t xml:space="preserve">Roadmap by wave</t>
  </si>
  <si>
    <t xml:space="preserve">What PHI should do now, what to design into Odoo, and what to optimise after go-live.</t>
  </si>
  <si>
    <t xml:space="preserve">Rolling 13-week cash forecast (continues)</t>
  </si>
  <si>
    <t xml:space="preserve">Named process owners with KPIs (continues)</t>
  </si>
  <si>
    <t xml:space="preserve">Wave 0 items are decisions and policies PHI can act on now, in the current system and before the BRD. Most then continue into Wave 1, where Odoo enforces them.</t>
  </si>
</sst>
</file>

<file path=xl/styles.xml><?xml version="1.0" encoding="utf-8"?>
<styleSheet xmlns="http://schemas.openxmlformats.org/spreadsheetml/2006/main">
  <numFmts count="3">
    <numFmt numFmtId="164" formatCode="General"/>
    <numFmt numFmtId="165" formatCode="General"/>
    <numFmt numFmtId="166" formatCode="0%"/>
  </numFmts>
  <fonts count="13">
    <font>
      <sz val="11"/>
      <color theme="1"/>
      <name val="Calibri"/>
      <family val="2"/>
      <charset val="1"/>
    </font>
    <font>
      <sz val="10"/>
      <name val="Arial"/>
      <family val="0"/>
    </font>
    <font>
      <sz val="10"/>
      <name val="Arial"/>
      <family val="0"/>
    </font>
    <font>
      <sz val="10"/>
      <name val="Arial"/>
      <family val="0"/>
    </font>
    <font>
      <b val="true"/>
      <sz val="16"/>
      <color rgb="FF0F1D4A"/>
      <name val="Arial"/>
      <family val="0"/>
      <charset val="1"/>
    </font>
    <font>
      <b val="true"/>
      <sz val="10"/>
      <name val="Arial"/>
      <family val="0"/>
      <charset val="1"/>
    </font>
    <font>
      <sz val="10"/>
      <name val="Arial"/>
      <family val="0"/>
      <charset val="1"/>
    </font>
    <font>
      <b val="true"/>
      <sz val="14"/>
      <color rgb="FF0F1D4A"/>
      <name val="Arial"/>
      <family val="0"/>
      <charset val="1"/>
    </font>
    <font>
      <i val="true"/>
      <sz val="9"/>
      <color rgb="FF44507A"/>
      <name val="Arial"/>
      <family val="0"/>
      <charset val="1"/>
    </font>
    <font>
      <b val="true"/>
      <sz val="12"/>
      <color rgb="FF0F1D4A"/>
      <name val="Arial"/>
      <family val="0"/>
      <charset val="1"/>
    </font>
    <font>
      <b val="true"/>
      <sz val="10"/>
      <color rgb="FFFFFFFF"/>
      <name val="Arial"/>
      <family val="0"/>
      <charset val="1"/>
    </font>
    <font>
      <i val="true"/>
      <sz val="9"/>
      <name val="Arial"/>
      <family val="0"/>
      <charset val="1"/>
    </font>
    <font>
      <b val="true"/>
      <sz val="10"/>
      <color rgb="FF0F1D4A"/>
      <name val="Arial"/>
      <family val="0"/>
      <charset val="1"/>
    </font>
  </fonts>
  <fills count="10">
    <fill>
      <patternFill patternType="none"/>
    </fill>
    <fill>
      <patternFill patternType="gray125"/>
    </fill>
    <fill>
      <patternFill patternType="solid">
        <fgColor rgb="FFFFF2A8"/>
        <bgColor rgb="FFE2EFDA"/>
      </patternFill>
    </fill>
    <fill>
      <patternFill patternType="solid">
        <fgColor rgb="FF0F1D4A"/>
        <bgColor rgb="FF333333"/>
      </patternFill>
    </fill>
    <fill>
      <patternFill patternType="solid">
        <fgColor rgb="FFD9D9D9"/>
        <bgColor rgb="FFC7D0E4"/>
      </patternFill>
    </fill>
    <fill>
      <patternFill patternType="solid">
        <fgColor rgb="FFA9D08E"/>
        <bgColor rgb="FF9BC2E6"/>
      </patternFill>
    </fill>
    <fill>
      <patternFill patternType="solid">
        <fgColor rgb="FF9BC2E6"/>
        <bgColor rgb="FFC7D0E4"/>
      </patternFill>
    </fill>
    <fill>
      <patternFill patternType="solid">
        <fgColor rgb="FFF2F2F2"/>
        <bgColor rgb="FFE2EFDA"/>
      </patternFill>
    </fill>
    <fill>
      <patternFill patternType="solid">
        <fgColor rgb="FFE2EFDA"/>
        <bgColor rgb="FFDDEBF7"/>
      </patternFill>
    </fill>
    <fill>
      <patternFill patternType="solid">
        <fgColor rgb="FFDDEBF7"/>
        <bgColor rgb="FFE2EFDA"/>
      </patternFill>
    </fill>
  </fills>
  <borders count="2">
    <border diagonalUp="false" diagonalDown="false">
      <left/>
      <right/>
      <top/>
      <bottom/>
      <diagonal/>
    </border>
    <border diagonalUp="false" diagonalDown="false">
      <left style="thin">
        <color rgb="FFC7D0E4"/>
      </left>
      <right style="thin">
        <color rgb="FFC7D0E4"/>
      </right>
      <top style="thin">
        <color rgb="FFC7D0E4"/>
      </top>
      <bottom style="thin">
        <color rgb="FFC7D0E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4" fontId="12" fillId="4" borderId="1" xfId="0" applyFont="true" applyBorder="true" applyAlignment="true" applyProtection="false">
      <alignment horizontal="general" vertical="center" textRotation="0" wrapText="true" indent="0" shrinkToFit="false"/>
      <protection locked="true" hidden="false"/>
    </xf>
    <xf numFmtId="164" fontId="12" fillId="5" borderId="1" xfId="0" applyFont="true" applyBorder="true" applyAlignment="true" applyProtection="false">
      <alignment horizontal="general" vertical="center" textRotation="0" wrapText="true" indent="0" shrinkToFit="false"/>
      <protection locked="true" hidden="false"/>
    </xf>
    <xf numFmtId="164" fontId="12" fillId="6"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4" fontId="6" fillId="8" borderId="1" xfId="0" applyFont="true" applyBorder="true" applyAlignment="true" applyProtection="false">
      <alignment horizontal="general" vertical="top" textRotation="0" wrapText="true" indent="0" shrinkToFit="false"/>
      <protection locked="true" hidden="false"/>
    </xf>
    <xf numFmtId="164" fontId="6" fillId="9" borderId="1"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bottom" textRotation="0" wrapText="true" indent="0" shrinkToFit="false"/>
      <protection locked="true" hidden="false"/>
    </xf>
    <xf numFmtId="164" fontId="5" fillId="7"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center"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0F1D4A"/>
          <bgColor rgb="FF000000"/>
        </patternFill>
      </fill>
    </dxf>
    <dxf>
      <fill>
        <patternFill patternType="solid">
          <bgColor rgb="FF000000"/>
        </patternFill>
      </fill>
    </dxf>
    <dxf>
      <fill>
        <patternFill patternType="solid">
          <fgColor rgb="FFFFFFFF"/>
          <bgColor rgb="FF000000"/>
        </patternFill>
      </fill>
    </dxf>
    <dxf>
      <fill>
        <patternFill patternType="solid">
          <fgColor rgb="FFD9D9D9"/>
          <bgColor rgb="FF000000"/>
        </patternFill>
      </fill>
    </dxf>
    <dxf>
      <fill>
        <patternFill patternType="solid">
          <fgColor rgb="FFF2F2F2"/>
          <bgColor rgb="FF000000"/>
        </patternFill>
      </fill>
    </dxf>
    <dxf>
      <fill>
        <patternFill patternType="solid">
          <fgColor rgb="FFA9D08E"/>
          <bgColor rgb="FF000000"/>
        </patternFill>
      </fill>
    </dxf>
    <dxf>
      <fill>
        <patternFill patternType="solid">
          <fgColor rgb="FFE2EFDA"/>
          <bgColor rgb="FF000000"/>
        </patternFill>
      </fill>
    </dxf>
    <dxf>
      <fill>
        <patternFill patternType="solid">
          <fgColor rgb="FF9BC2E6"/>
          <bgColor rgb="FF000000"/>
        </patternFill>
      </fill>
    </dxf>
    <dxf>
      <fill>
        <patternFill patternType="solid">
          <fgColor rgb="FFDDEBF7"/>
          <bgColor rgb="FF000000"/>
        </patternFill>
      </fill>
    </dxf>
    <dxf>
      <fill>
        <patternFill patternType="solid">
          <fgColor rgb="FFFFF2A8"/>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9D08E"/>
      <rgbColor rgb="FF808080"/>
      <rgbColor rgb="FF9999FF"/>
      <rgbColor rgb="FF993366"/>
      <rgbColor rgb="FFF2F2F2"/>
      <rgbColor rgb="FFDDEBF7"/>
      <rgbColor rgb="FF660066"/>
      <rgbColor rgb="FFFF8080"/>
      <rgbColor rgb="FF0066CC"/>
      <rgbColor rgb="FFC7D0E4"/>
      <rgbColor rgb="FF000080"/>
      <rgbColor rgb="FFFF00FF"/>
      <rgbColor rgb="FFFFFF00"/>
      <rgbColor rgb="FF00FFFF"/>
      <rgbColor rgb="FF800080"/>
      <rgbColor rgb="FF800000"/>
      <rgbColor rgb="FF008080"/>
      <rgbColor rgb="FF0000FF"/>
      <rgbColor rgb="FF00CCFF"/>
      <rgbColor rgb="FFCCFFFF"/>
      <rgbColor rgb="FFE2EFDA"/>
      <rgbColor rgb="FFFFF2A8"/>
      <rgbColor rgb="FF9BC2E6"/>
      <rgbColor rgb="FFFF99CC"/>
      <rgbColor rgb="FFCC99FF"/>
      <rgbColor rgb="FFD9D9D9"/>
      <rgbColor rgb="FF3366FF"/>
      <rgbColor rgb="FF33CCCC"/>
      <rgbColor rgb="FF99CC00"/>
      <rgbColor rgb="FFFFCC00"/>
      <rgbColor rgb="FFFF9900"/>
      <rgbColor rgb="FFFF6600"/>
      <rgbColor rgb="FF666699"/>
      <rgbColor rgb="FF969696"/>
      <rgbColor rgb="FF0F1D4A"/>
      <rgbColor rgb="FF339966"/>
      <rgbColor rgb="FF003300"/>
      <rgbColor rgb="FF333300"/>
      <rgbColor rgb="FF993300"/>
      <rgbColor rgb="FF993366"/>
      <rgbColor rgb="FF44507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ables/table1.xml><?xml version="1.0" encoding="utf-8"?>
<table xmlns="http://schemas.openxmlformats.org/spreadsheetml/2006/main" id="1" name="BeforeAfter" displayName="BeforeAfter" ref="A4:R27" headerRowCount="1" totalsRowCount="0" totalsRowShown="0">
  <autoFilter ref="A4:R27"/>
  <tableColumns count="18">
    <tableColumn id="1" name="ID"/>
    <tableColumn id="2" name="Opportunity"/>
    <tableColumn id="3" name="Blueprint process"/>
    <tableColumn id="4" name="Current process (summary)"/>
    <tableColumn id="5" name="Proposed process (summary)"/>
    <tableColumn id="6" name="1a. Why change: problem and root cause"/>
    <tableColumn id="7" name="1b. How the re-engineering fixes it"/>
    <tableColumn id="8" name="1c. Effect on controls and compliance"/>
    <tableColumn id="9" name="1d. Expected outcome (KPI → target)"/>
    <tableColumn id="10" name="2a. BEFORE — current process steps"/>
    <tableColumn id="11" name="2b. AFTER — re-engineered process steps"/>
    <tableColumn id="12" name="2c. What changes"/>
    <tableColumn id="13" name="2d. Roles affected and how"/>
    <tableColumn id="14" name="Steps before"/>
    <tableColumn id="15" name="Steps after"/>
    <tableColumn id="16" name="Manual, paper, re-key or wait steps before"/>
    <tableColumn id="17" name="Automated or system-enforced steps after"/>
    <tableColumn id="18" name="Steps moved earlier or run in parallel"/>
  </tableColumns>
</table>
</file>

<file path=xl/tables/table2.xml><?xml version="1.0" encoding="utf-8"?>
<table xmlns="http://schemas.openxmlformats.org/spreadsheetml/2006/main" id="2" name="KPIScorecard" displayName="KPIScorecard" ref="A4:K27" headerRowCount="1" totalsRowCount="0" totalsRowShown="0">
  <autoFilter ref="A4:K27"/>
  <tableColumns count="11">
    <tableColumn id="1" name="ID"/>
    <tableColumn id="2" name="Opportunity"/>
    <tableColumn id="3" name="KPI"/>
    <tableColumn id="4" name="Proposed target"/>
    <tableColumn id="5" name="Baseline (current)"/>
    <tableColumn id="6" name="Baseline date"/>
    <tableColumn id="7" name="Agreed target"/>
    <tableColumn id="8" name="KPI owner"/>
    <tableColumn id="9" name="Measure frequency"/>
    <tableColumn id="10" name="Value at go-live"/>
    <tableColumn id="11" name="Value after hypercare"/>
  </tableColumns>
</table>
</file>

<file path=xl/tables/table3.xml><?xml version="1.0" encoding="utf-8"?>
<table xmlns="http://schemas.openxmlformats.org/spreadsheetml/2006/main" id="3" name="ReengineeringMap" displayName="ReengineeringMap" ref="A4:S27" headerRowCount="1" totalsRowCount="0" totalsRowShown="0">
  <autoFilter ref="A4:S27"/>
  <tableColumns count="19">
    <tableColumn id="1" name="ID"/>
    <tableColumn id="2" name="Opportunity"/>
    <tableColumn id="3" name="Blueprint process"/>
    <tableColumn id="4" name="Current process"/>
    <tableColumn id="5" name="Pain points and control risks"/>
    <tableColumn id="6" name="Proposed re-engineered process"/>
    <tableColumn id="7" name="Justification"/>
    <tableColumn id="8" name="Controls &amp; compliance safeguards"/>
    <tableColumn id="9" name="Benefit"/>
    <tableColumn id="10" name="Wave (start)"/>
    <tableColumn id="11" name="Continues into"/>
    <tableColumn id="12" name="Odoo 19 enabler"/>
    <tableColumn id="13" name="SOW status"/>
    <tableColumn id="14" name="KPI"/>
    <tableColumn id="15" name="Proposed target"/>
    <tableColumn id="16" name="PHI decision"/>
    <tableColumn id="17" name="PHI owner"/>
    <tableColumn id="18" name="Target date"/>
    <tableColumn id="19" name="PHI comment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table" Target="../tables/table3.xml"/>
</Relationships>
</file>

<file path=xl/worksheets/_rels/sheet4.xml.rels><?xml version="1.0" encoding="UTF-8"?>
<Relationships xmlns="http://schemas.openxmlformats.org/package/2006/relationships"><Relationship Id="rId1" Type="http://schemas.openxmlformats.org/officeDocument/2006/relationships/table" Target="../tables/table1.xml"/>
</Relationships>
</file>

<file path=xl/worksheets/_rels/sheet5.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15"/>
  </cols>
  <sheetData>
    <row r="1" customFormat="false" ht="19.5" hidden="false" customHeight="true" outlineLevel="0" collapsed="false">
      <c r="A1" s="2" t="s">
        <v>0</v>
      </c>
    </row>
    <row r="3" customFormat="false" ht="23.25" hidden="false" customHeight="true" outlineLevel="0" collapsed="false">
      <c r="A3" s="3" t="s">
        <v>1</v>
      </c>
      <c r="B3" s="4" t="s">
        <v>2</v>
      </c>
    </row>
    <row r="4" customFormat="false" ht="15" hidden="false" customHeight="true" outlineLevel="0" collapsed="false">
      <c r="A4" s="3" t="s">
        <v>3</v>
      </c>
      <c r="B4" s="4" t="s">
        <v>4</v>
      </c>
    </row>
    <row r="5" customFormat="false" ht="23.25" hidden="false" customHeight="true" outlineLevel="0" collapsed="false">
      <c r="A5" s="3" t="s">
        <v>5</v>
      </c>
      <c r="B5" s="4" t="s">
        <v>6</v>
      </c>
    </row>
    <row r="6" customFormat="false" ht="23.25" hidden="false" customHeight="true" outlineLevel="0" collapsed="false">
      <c r="A6" s="3" t="s">
        <v>7</v>
      </c>
      <c r="B6" s="4" t="s">
        <v>8</v>
      </c>
    </row>
    <row r="7" customFormat="false" ht="15" hidden="false" customHeight="true" outlineLevel="0" collapsed="false">
      <c r="A7" s="3" t="s">
        <v>9</v>
      </c>
      <c r="B7" s="4" t="s">
        <v>10</v>
      </c>
    </row>
    <row r="8" customFormat="false" ht="23.25" hidden="false" customHeight="true" outlineLevel="0" collapsed="false">
      <c r="A8" s="3" t="s">
        <v>11</v>
      </c>
      <c r="B8" s="4" t="s">
        <v>12</v>
      </c>
    </row>
    <row r="9" customFormat="false" ht="15" hidden="false" customHeight="true" outlineLevel="0" collapsed="false">
      <c r="A9" s="3" t="s">
        <v>13</v>
      </c>
      <c r="B9" s="4" t="s">
        <v>14</v>
      </c>
    </row>
    <row r="10" customFormat="false" ht="15" hidden="false" customHeight="true" outlineLevel="0" collapsed="false">
      <c r="A10" s="3" t="s">
        <v>15</v>
      </c>
      <c r="B10" s="4" t="s">
        <v>16</v>
      </c>
    </row>
    <row r="11" customFormat="false" ht="15" hidden="false" customHeight="true" outlineLevel="0" collapsed="false">
      <c r="A11" s="5" t="s">
        <v>17</v>
      </c>
      <c r="B11" s="4" t="s">
        <v>18</v>
      </c>
    </row>
    <row r="12" customFormat="false" ht="23.25" hidden="false" customHeight="true" outlineLevel="0" collapsed="false">
      <c r="A12" s="3" t="s">
        <v>19</v>
      </c>
      <c r="B12" s="4" t="s">
        <v>20</v>
      </c>
    </row>
    <row r="13" customFormat="false" ht="23.25" hidden="false" customHeight="true" outlineLevel="0" collapsed="false">
      <c r="A13" s="3" t="s">
        <v>21</v>
      </c>
      <c r="B13" s="4" t="s">
        <v>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2" min="2" style="1" width="14"/>
    <col collapsed="false" customWidth="true" hidden="false" outlineLevel="0" max="3" min="3" style="1" width="12"/>
    <col collapsed="false" customWidth="true" hidden="false" outlineLevel="0" max="4" min="4" style="1" width="14"/>
    <col collapsed="false" customWidth="true" hidden="false" outlineLevel="0" max="5" min="5" style="1" width="12"/>
    <col collapsed="false" customWidth="true" hidden="false" outlineLevel="0" max="6" min="6" style="1" width="16"/>
  </cols>
  <sheetData>
    <row r="1" customFormat="false" ht="17.25" hidden="false" customHeight="true" outlineLevel="0" collapsed="false">
      <c r="A1" s="6" t="s">
        <v>23</v>
      </c>
    </row>
    <row r="2" customFormat="false" ht="15" hidden="false" customHeight="true" outlineLevel="0" collapsed="false">
      <c r="A2" s="7" t="s">
        <v>24</v>
      </c>
    </row>
    <row r="4" customFormat="false" ht="15" hidden="false" customHeight="true" outlineLevel="0" collapsed="false">
      <c r="A4" s="8" t="s">
        <v>25</v>
      </c>
    </row>
    <row r="5" customFormat="false" ht="15" hidden="false" customHeight="true" outlineLevel="0" collapsed="false">
      <c r="A5" s="9" t="s">
        <v>26</v>
      </c>
      <c r="B5" s="9" t="s">
        <v>27</v>
      </c>
      <c r="C5" s="9" t="s">
        <v>28</v>
      </c>
      <c r="D5" s="9" t="s">
        <v>29</v>
      </c>
      <c r="E5" s="9" t="s">
        <v>30</v>
      </c>
      <c r="F5" s="9" t="s">
        <v>31</v>
      </c>
    </row>
    <row r="6" customFormat="false" ht="15" hidden="false" customHeight="true" outlineLevel="0" collapsed="false">
      <c r="A6" s="10" t="s">
        <v>32</v>
      </c>
      <c r="B6" s="10" t="n">
        <f aca="false">COUNTIF('Re-engineering Map'!$J$5:$J$27,A6)</f>
        <v>15</v>
      </c>
      <c r="C6" s="10" t="n">
        <f aca="false">COUNTIFS('Re-engineering Map'!$J$5:$J$27,$A6,'Re-engineering Map'!$I$5:$I$27,"*Efficiency*")</f>
        <v>12</v>
      </c>
      <c r="D6" s="10" t="n">
        <f aca="false">COUNTIFS('Re-engineering Map'!$J$5:$J$27,$A6,'Re-engineering Map'!$I$5:$I$27,"*Transparency*")</f>
        <v>14</v>
      </c>
      <c r="E6" s="10" t="n">
        <f aca="false">COUNTIFS('Re-engineering Map'!$J$5:$J$27,$A6,'Re-engineering Map'!$I$5:$I$27,"*Reporting*")</f>
        <v>8</v>
      </c>
      <c r="F6" s="10" t="n">
        <f aca="false">COUNTIFS('Re-engineering Map'!$J$5:$J$27,$A6,'Re-engineering Map'!$P$5:$P$27,"Accept*")</f>
        <v>0</v>
      </c>
    </row>
    <row r="7" customFormat="false" ht="15" hidden="false" customHeight="true" outlineLevel="0" collapsed="false">
      <c r="A7" s="10" t="s">
        <v>33</v>
      </c>
      <c r="B7" s="10" t="n">
        <f aca="false">COUNTIF('Re-engineering Map'!$J$5:$J$27,A7)</f>
        <v>8</v>
      </c>
      <c r="C7" s="10" t="n">
        <f aca="false">COUNTIFS('Re-engineering Map'!$J$5:$J$27,$A7,'Re-engineering Map'!$I$5:$I$27,"*Efficiency*")</f>
        <v>7</v>
      </c>
      <c r="D7" s="10" t="n">
        <f aca="false">COUNTIFS('Re-engineering Map'!$J$5:$J$27,$A7,'Re-engineering Map'!$I$5:$I$27,"*Transparency*")</f>
        <v>6</v>
      </c>
      <c r="E7" s="10" t="n">
        <f aca="false">COUNTIFS('Re-engineering Map'!$J$5:$J$27,$A7,'Re-engineering Map'!$I$5:$I$27,"*Reporting*")</f>
        <v>5</v>
      </c>
      <c r="F7" s="10" t="n">
        <f aca="false">COUNTIFS('Re-engineering Map'!$J$5:$J$27,$A7,'Re-engineering Map'!$P$5:$P$27,"Accept*")</f>
        <v>0</v>
      </c>
    </row>
    <row r="8" customFormat="false" ht="15" hidden="false" customHeight="true" outlineLevel="0" collapsed="false">
      <c r="A8" s="10" t="s">
        <v>34</v>
      </c>
      <c r="B8" s="10" t="n">
        <f aca="false">COUNTIF('Re-engineering Map'!$J$5:$J$27,A8)</f>
        <v>0</v>
      </c>
      <c r="C8" s="10" t="n">
        <f aca="false">COUNTIFS('Re-engineering Map'!$J$5:$J$27,$A8,'Re-engineering Map'!$I$5:$I$27,"*Efficiency*")</f>
        <v>0</v>
      </c>
      <c r="D8" s="10" t="n">
        <f aca="false">COUNTIFS('Re-engineering Map'!$J$5:$J$27,$A8,'Re-engineering Map'!$I$5:$I$27,"*Transparency*")</f>
        <v>0</v>
      </c>
      <c r="E8" s="10" t="n">
        <f aca="false">COUNTIFS('Re-engineering Map'!$J$5:$J$27,$A8,'Re-engineering Map'!$I$5:$I$27,"*Reporting*")</f>
        <v>0</v>
      </c>
      <c r="F8" s="10" t="n">
        <f aca="false">COUNTIFS('Re-engineering Map'!$J$5:$J$27,$A8,'Re-engineering Map'!$P$5:$P$27,"Accept*")</f>
        <v>0</v>
      </c>
    </row>
    <row r="9" customFormat="false" ht="15" hidden="false" customHeight="true" outlineLevel="0" collapsed="false">
      <c r="A9" s="11" t="s">
        <v>35</v>
      </c>
      <c r="B9" s="11" t="n">
        <f aca="false">SUM(B6:B8)</f>
        <v>23</v>
      </c>
      <c r="C9" s="11" t="n">
        <f aca="false">SUM(C6:C8)</f>
        <v>19</v>
      </c>
      <c r="D9" s="11" t="n">
        <f aca="false">SUM(D6:D8)</f>
        <v>20</v>
      </c>
      <c r="E9" s="11" t="n">
        <f aca="false">SUM(E6:E8)</f>
        <v>13</v>
      </c>
      <c r="F9" s="11" t="n">
        <f aca="false">SUM(F6:F8)</f>
        <v>0</v>
      </c>
    </row>
    <row r="10" customFormat="false" ht="15" hidden="false" customHeight="true" outlineLevel="0" collapsed="false">
      <c r="A10" s="12" t="s">
        <v>36</v>
      </c>
      <c r="B10" s="12" t="n">
        <f aca="false">COUNTIF('Re-engineering Map'!$K$5:$K$27,"*2*")</f>
        <v>3</v>
      </c>
    </row>
    <row r="11" customFormat="false" ht="15" hidden="false" customHeight="true" outlineLevel="0" collapsed="false">
      <c r="A11" s="8" t="s">
        <v>37</v>
      </c>
    </row>
    <row r="12" customFormat="false" ht="15" hidden="false" customHeight="true" outlineLevel="0" collapsed="false">
      <c r="A12" s="9" t="s">
        <v>38</v>
      </c>
      <c r="B12" s="9" t="s">
        <v>27</v>
      </c>
      <c r="C12" s="9" t="s">
        <v>39</v>
      </c>
    </row>
    <row r="13" customFormat="false" ht="79.5" hidden="false" customHeight="true" outlineLevel="0" collapsed="false">
      <c r="A13" s="13" t="s">
        <v>40</v>
      </c>
      <c r="B13" s="13" t="n">
        <f aca="false">COUNTIF('Re-engineering Map'!$M$5:$M$27,"Covered*")</f>
        <v>9</v>
      </c>
      <c r="C13" s="13" t="s">
        <v>41</v>
      </c>
    </row>
    <row r="14" customFormat="false" ht="68.25" hidden="false" customHeight="true" outlineLevel="0" collapsed="false">
      <c r="A14" s="13" t="s">
        <v>42</v>
      </c>
      <c r="B14" s="13" t="n">
        <f aca="false">COUNTIF('Re-engineering Map'!$M$5:$M$27,"Partial*")</f>
        <v>8</v>
      </c>
      <c r="C14" s="13" t="s">
        <v>43</v>
      </c>
    </row>
    <row r="15" customFormat="false" ht="57" hidden="false" customHeight="true" outlineLevel="0" collapsed="false">
      <c r="A15" s="13" t="s">
        <v>44</v>
      </c>
      <c r="B15" s="13" t="n">
        <f aca="false">COUNTIF('Re-engineering Map'!$M$5:$M$27,"Gap*")</f>
        <v>3</v>
      </c>
      <c r="C15" s="13" t="s">
        <v>45</v>
      </c>
    </row>
    <row r="16" customFormat="false" ht="45.75" hidden="false" customHeight="true" outlineLevel="0" collapsed="false">
      <c r="A16" s="13" t="s">
        <v>46</v>
      </c>
      <c r="B16" s="13" t="n">
        <f aca="false">COUNTIF('Re-engineering Map'!$M$5:$M$27,"Confirm*")</f>
        <v>1</v>
      </c>
      <c r="C16" s="13" t="s">
        <v>47</v>
      </c>
    </row>
    <row r="17" customFormat="false" ht="34.5" hidden="false" customHeight="true" outlineLevel="0" collapsed="false">
      <c r="A17" s="13" t="s">
        <v>48</v>
      </c>
      <c r="B17" s="13" t="n">
        <f aca="false">COUNTIF('Re-engineering Map'!$M$5:$M$27,"Policy*")</f>
        <v>1</v>
      </c>
      <c r="C17" s="13" t="s">
        <v>49</v>
      </c>
    </row>
    <row r="18" customFormat="false" ht="34.5" hidden="false" customHeight="true" outlineLevel="0" collapsed="false">
      <c r="A18" s="13" t="s">
        <v>50</v>
      </c>
      <c r="B18" s="13" t="n">
        <f aca="false">COUNTIF('Re-engineering Map'!$M$5:$M$27,"Client*")</f>
        <v>1</v>
      </c>
      <c r="C18" s="13" t="s">
        <v>51</v>
      </c>
    </row>
    <row r="19" customFormat="false" ht="15" hidden="false" customHeight="true" outlineLevel="0" collapsed="false">
      <c r="A19" s="3" t="s">
        <v>35</v>
      </c>
      <c r="B19" s="3" t="n">
        <f aca="false">SUM(B13:B18)</f>
        <v>23</v>
      </c>
    </row>
    <row r="20" customFormat="false" ht="15" hidden="false" customHeight="true" outlineLevel="0" collapsed="false">
      <c r="A20" s="12" t="s">
        <v>52</v>
      </c>
      <c r="B20" s="12" t="n">
        <f aca="false">B19-B9</f>
        <v>0</v>
      </c>
    </row>
    <row r="22" customFormat="false" ht="15" hidden="false" customHeight="false" outlineLevel="0" collapsed="false">
      <c r="A22" s="14" t="s">
        <v>53</v>
      </c>
    </row>
    <row r="23" customFormat="false" ht="15" hidden="false" customHeight="false" outlineLevel="0" collapsed="false">
      <c r="A23" s="15" t="s">
        <v>54</v>
      </c>
      <c r="B23" s="16" t="n">
        <f aca="false">'Before-After Detail'!N28</f>
        <v>125</v>
      </c>
    </row>
    <row r="24" customFormat="false" ht="15" hidden="false" customHeight="false" outlineLevel="0" collapsed="false">
      <c r="A24" s="15" t="s">
        <v>55</v>
      </c>
      <c r="B24" s="16" t="n">
        <f aca="false">'Before-After Detail'!O28</f>
        <v>133</v>
      </c>
    </row>
    <row r="25" customFormat="false" ht="15" hidden="false" customHeight="false" outlineLevel="0" collapsed="false">
      <c r="A25" s="15" t="s">
        <v>56</v>
      </c>
      <c r="B25" s="16" t="n">
        <f aca="false">'Before-After Detail'!P28</f>
        <v>120</v>
      </c>
    </row>
    <row r="26" customFormat="false" ht="15" hidden="false" customHeight="false" outlineLevel="0" collapsed="false">
      <c r="A26" s="15" t="s">
        <v>57</v>
      </c>
      <c r="B26" s="16" t="n">
        <f aca="false">'Before-After Detail'!Q28</f>
        <v>82</v>
      </c>
    </row>
    <row r="27" customFormat="false" ht="15" hidden="false" customHeight="false" outlineLevel="0" collapsed="false">
      <c r="A27" s="15" t="s">
        <v>58</v>
      </c>
      <c r="B27" s="16" t="n">
        <f aca="false">'Before-After Detail'!R28</f>
        <v>7</v>
      </c>
    </row>
    <row r="28" customFormat="false" ht="15" hidden="false" customHeight="false" outlineLevel="0" collapsed="false">
      <c r="A28" s="15" t="s">
        <v>59</v>
      </c>
      <c r="B28" s="17" t="n">
        <f aca="false">IF(B24=0,0,B26/B24)</f>
        <v>0.616541353383459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26"/>
    <col collapsed="false" customWidth="true" hidden="false" outlineLevel="0" max="3" min="3" style="1" width="11"/>
    <col collapsed="false" customWidth="true" hidden="false" outlineLevel="0" max="4" min="4" style="1" width="38"/>
    <col collapsed="false" customWidth="true" hidden="false" outlineLevel="0" max="5" min="5" style="1" width="34"/>
    <col collapsed="false" customWidth="true" hidden="false" outlineLevel="0" max="6" min="6" style="1" width="48"/>
    <col collapsed="false" customWidth="true" hidden="false" outlineLevel="0" max="7" min="7" style="1" width="38"/>
    <col collapsed="false" customWidth="true" hidden="false" outlineLevel="0" max="8" min="8" style="1" width="36"/>
    <col collapsed="false" customWidth="true" hidden="false" outlineLevel="0" max="9" min="9" style="1" width="16"/>
    <col collapsed="false" customWidth="true" hidden="false" outlineLevel="0" max="10" min="10" style="1" width="20"/>
    <col collapsed="false" customWidth="true" hidden="false" outlineLevel="0" max="11" min="11" style="1" width="11"/>
    <col collapsed="false" customWidth="true" hidden="false" outlineLevel="0" max="12" min="12" style="1" width="26"/>
    <col collapsed="false" customWidth="true" hidden="false" outlineLevel="0" max="13" min="13" style="1" width="24"/>
    <col collapsed="false" customWidth="true" hidden="false" outlineLevel="0" max="14" min="14" style="1" width="28"/>
    <col collapsed="false" customWidth="true" hidden="false" outlineLevel="0" max="15" min="15" style="1" width="20"/>
    <col collapsed="false" customWidth="true" hidden="false" outlineLevel="0" max="17" min="16" style="1" width="16"/>
    <col collapsed="false" customWidth="true" hidden="false" outlineLevel="0" max="18" min="18" style="1" width="12"/>
    <col collapsed="false" customWidth="true" hidden="false" outlineLevel="0" max="19" min="19" style="1" width="34"/>
  </cols>
  <sheetData>
    <row r="1" customFormat="false" ht="17.25" hidden="false" customHeight="true" outlineLevel="0" collapsed="false">
      <c r="A1" s="6" t="s">
        <v>60</v>
      </c>
    </row>
    <row r="2" customFormat="false" ht="15" hidden="false" customHeight="true" outlineLevel="0" collapsed="false">
      <c r="A2" s="7" t="s">
        <v>61</v>
      </c>
    </row>
    <row r="4" customFormat="false" ht="34.5" hidden="false" customHeight="true" outlineLevel="0" collapsed="false">
      <c r="A4" s="9" t="s">
        <v>62</v>
      </c>
      <c r="B4" s="9" t="s">
        <v>63</v>
      </c>
      <c r="C4" s="9" t="s">
        <v>64</v>
      </c>
      <c r="D4" s="18" t="s">
        <v>13</v>
      </c>
      <c r="E4" s="18" t="s">
        <v>65</v>
      </c>
      <c r="F4" s="19" t="s">
        <v>66</v>
      </c>
      <c r="G4" s="20" t="s">
        <v>67</v>
      </c>
      <c r="H4" s="20" t="s">
        <v>68</v>
      </c>
      <c r="I4" s="9" t="s">
        <v>69</v>
      </c>
      <c r="J4" s="9" t="s">
        <v>70</v>
      </c>
      <c r="K4" s="9" t="s">
        <v>71</v>
      </c>
      <c r="L4" s="9" t="s">
        <v>72</v>
      </c>
      <c r="M4" s="9" t="s">
        <v>38</v>
      </c>
      <c r="N4" s="9" t="s">
        <v>73</v>
      </c>
      <c r="O4" s="9" t="s">
        <v>74</v>
      </c>
      <c r="P4" s="9" t="s">
        <v>75</v>
      </c>
      <c r="Q4" s="9" t="s">
        <v>76</v>
      </c>
      <c r="R4" s="9" t="s">
        <v>77</v>
      </c>
      <c r="S4" s="9" t="s">
        <v>78</v>
      </c>
    </row>
    <row r="5" customFormat="false" ht="45.75" hidden="false" customHeight="true" outlineLevel="0" collapsed="false">
      <c r="A5" s="21" t="s">
        <v>79</v>
      </c>
      <c r="B5" s="21" t="s">
        <v>80</v>
      </c>
      <c r="C5" s="13" t="s">
        <v>81</v>
      </c>
      <c r="D5" s="22" t="s">
        <v>82</v>
      </c>
      <c r="E5" s="22" t="s">
        <v>83</v>
      </c>
      <c r="F5" s="23" t="s">
        <v>84</v>
      </c>
      <c r="G5" s="24" t="s">
        <v>85</v>
      </c>
      <c r="H5" s="24" t="s">
        <v>86</v>
      </c>
      <c r="I5" s="13" t="s">
        <v>87</v>
      </c>
      <c r="J5" s="13" t="s">
        <v>32</v>
      </c>
      <c r="K5" s="13" t="s">
        <v>88</v>
      </c>
      <c r="L5" s="13" t="s">
        <v>89</v>
      </c>
      <c r="M5" s="13" t="s">
        <v>90</v>
      </c>
      <c r="N5" s="13" t="s">
        <v>91</v>
      </c>
      <c r="O5" s="13" t="s">
        <v>92</v>
      </c>
      <c r="P5" s="25"/>
      <c r="Q5" s="25"/>
      <c r="R5" s="25"/>
      <c r="S5" s="25"/>
    </row>
    <row r="6" customFormat="false" ht="57" hidden="false" customHeight="true" outlineLevel="0" collapsed="false">
      <c r="A6" s="21" t="s">
        <v>93</v>
      </c>
      <c r="B6" s="21" t="s">
        <v>94</v>
      </c>
      <c r="C6" s="13" t="s">
        <v>95</v>
      </c>
      <c r="D6" s="22" t="s">
        <v>96</v>
      </c>
      <c r="E6" s="22" t="s">
        <v>97</v>
      </c>
      <c r="F6" s="23" t="s">
        <v>98</v>
      </c>
      <c r="G6" s="24" t="s">
        <v>99</v>
      </c>
      <c r="H6" s="24" t="s">
        <v>100</v>
      </c>
      <c r="I6" s="13" t="s">
        <v>101</v>
      </c>
      <c r="J6" s="13" t="s">
        <v>32</v>
      </c>
      <c r="K6" s="13" t="s">
        <v>88</v>
      </c>
      <c r="L6" s="13" t="s">
        <v>102</v>
      </c>
      <c r="M6" s="13" t="s">
        <v>103</v>
      </c>
      <c r="N6" s="13" t="s">
        <v>104</v>
      </c>
      <c r="O6" s="13" t="s">
        <v>105</v>
      </c>
      <c r="P6" s="25"/>
      <c r="Q6" s="25"/>
      <c r="R6" s="25"/>
      <c r="S6" s="25"/>
    </row>
    <row r="7" customFormat="false" ht="57" hidden="false" customHeight="true" outlineLevel="0" collapsed="false">
      <c r="A7" s="21" t="s">
        <v>106</v>
      </c>
      <c r="B7" s="21" t="s">
        <v>107</v>
      </c>
      <c r="C7" s="13" t="s">
        <v>108</v>
      </c>
      <c r="D7" s="22" t="s">
        <v>109</v>
      </c>
      <c r="E7" s="22" t="s">
        <v>110</v>
      </c>
      <c r="F7" s="23" t="s">
        <v>111</v>
      </c>
      <c r="G7" s="24" t="s">
        <v>112</v>
      </c>
      <c r="H7" s="24" t="s">
        <v>113</v>
      </c>
      <c r="I7" s="13" t="s">
        <v>101</v>
      </c>
      <c r="J7" s="13" t="s">
        <v>32</v>
      </c>
      <c r="K7" s="13" t="s">
        <v>88</v>
      </c>
      <c r="L7" s="13" t="s">
        <v>114</v>
      </c>
      <c r="M7" s="13" t="s">
        <v>115</v>
      </c>
      <c r="N7" s="13" t="s">
        <v>116</v>
      </c>
      <c r="O7" s="13" t="s">
        <v>117</v>
      </c>
      <c r="P7" s="25"/>
      <c r="Q7" s="25"/>
      <c r="R7" s="25"/>
      <c r="S7" s="25"/>
    </row>
    <row r="8" customFormat="false" ht="45.75" hidden="false" customHeight="true" outlineLevel="0" collapsed="false">
      <c r="A8" s="21" t="s">
        <v>118</v>
      </c>
      <c r="B8" s="21" t="s">
        <v>119</v>
      </c>
      <c r="C8" s="13" t="s">
        <v>108</v>
      </c>
      <c r="D8" s="22" t="s">
        <v>120</v>
      </c>
      <c r="E8" s="22" t="s">
        <v>121</v>
      </c>
      <c r="F8" s="23" t="s">
        <v>122</v>
      </c>
      <c r="G8" s="24" t="s">
        <v>123</v>
      </c>
      <c r="H8" s="24" t="s">
        <v>124</v>
      </c>
      <c r="I8" s="13" t="s">
        <v>125</v>
      </c>
      <c r="J8" s="13" t="s">
        <v>33</v>
      </c>
      <c r="K8" s="13"/>
      <c r="L8" s="13" t="s">
        <v>126</v>
      </c>
      <c r="M8" s="13" t="s">
        <v>127</v>
      </c>
      <c r="N8" s="13" t="s">
        <v>128</v>
      </c>
      <c r="O8" s="13" t="s">
        <v>129</v>
      </c>
      <c r="P8" s="25"/>
      <c r="Q8" s="25"/>
      <c r="R8" s="25"/>
      <c r="S8" s="25"/>
    </row>
    <row r="9" customFormat="false" ht="45.75" hidden="false" customHeight="true" outlineLevel="0" collapsed="false">
      <c r="A9" s="21" t="s">
        <v>130</v>
      </c>
      <c r="B9" s="21" t="s">
        <v>131</v>
      </c>
      <c r="C9" s="13" t="s">
        <v>132</v>
      </c>
      <c r="D9" s="22" t="s">
        <v>133</v>
      </c>
      <c r="E9" s="22" t="s">
        <v>134</v>
      </c>
      <c r="F9" s="23" t="s">
        <v>135</v>
      </c>
      <c r="G9" s="24" t="s">
        <v>136</v>
      </c>
      <c r="H9" s="24" t="s">
        <v>137</v>
      </c>
      <c r="I9" s="13" t="s">
        <v>138</v>
      </c>
      <c r="J9" s="13" t="s">
        <v>32</v>
      </c>
      <c r="K9" s="13" t="s">
        <v>88</v>
      </c>
      <c r="L9" s="13" t="s">
        <v>139</v>
      </c>
      <c r="M9" s="13" t="s">
        <v>140</v>
      </c>
      <c r="N9" s="13" t="s">
        <v>141</v>
      </c>
      <c r="O9" s="13" t="s">
        <v>142</v>
      </c>
      <c r="P9" s="25"/>
      <c r="Q9" s="25"/>
      <c r="R9" s="25"/>
      <c r="S9" s="25"/>
    </row>
    <row r="10" customFormat="false" ht="45.75" hidden="false" customHeight="true" outlineLevel="0" collapsed="false">
      <c r="A10" s="21" t="s">
        <v>143</v>
      </c>
      <c r="B10" s="21" t="s">
        <v>144</v>
      </c>
      <c r="C10" s="13" t="s">
        <v>145</v>
      </c>
      <c r="D10" s="22" t="s">
        <v>146</v>
      </c>
      <c r="E10" s="22" t="s">
        <v>147</v>
      </c>
      <c r="F10" s="23" t="s">
        <v>148</v>
      </c>
      <c r="G10" s="24" t="s">
        <v>149</v>
      </c>
      <c r="H10" s="24" t="s">
        <v>150</v>
      </c>
      <c r="I10" s="13" t="s">
        <v>151</v>
      </c>
      <c r="J10" s="13" t="s">
        <v>32</v>
      </c>
      <c r="K10" s="13" t="s">
        <v>88</v>
      </c>
      <c r="L10" s="13" t="s">
        <v>152</v>
      </c>
      <c r="M10" s="13" t="s">
        <v>153</v>
      </c>
      <c r="N10" s="13" t="s">
        <v>154</v>
      </c>
      <c r="O10" s="13" t="s">
        <v>155</v>
      </c>
      <c r="P10" s="25"/>
      <c r="Q10" s="25"/>
      <c r="R10" s="25"/>
      <c r="S10" s="25"/>
    </row>
    <row r="11" customFormat="false" ht="57" hidden="false" customHeight="true" outlineLevel="0" collapsed="false">
      <c r="A11" s="21" t="s">
        <v>156</v>
      </c>
      <c r="B11" s="21" t="s">
        <v>157</v>
      </c>
      <c r="C11" s="13" t="s">
        <v>158</v>
      </c>
      <c r="D11" s="22" t="s">
        <v>159</v>
      </c>
      <c r="E11" s="22" t="s">
        <v>160</v>
      </c>
      <c r="F11" s="23" t="s">
        <v>161</v>
      </c>
      <c r="G11" s="24" t="s">
        <v>162</v>
      </c>
      <c r="H11" s="24" t="s">
        <v>163</v>
      </c>
      <c r="I11" s="13" t="s">
        <v>87</v>
      </c>
      <c r="J11" s="13" t="s">
        <v>33</v>
      </c>
      <c r="K11" s="13"/>
      <c r="L11" s="13" t="s">
        <v>164</v>
      </c>
      <c r="M11" s="13" t="s">
        <v>165</v>
      </c>
      <c r="N11" s="13" t="s">
        <v>166</v>
      </c>
      <c r="O11" s="13" t="s">
        <v>167</v>
      </c>
      <c r="P11" s="25"/>
      <c r="Q11" s="25"/>
      <c r="R11" s="25"/>
      <c r="S11" s="25"/>
    </row>
    <row r="12" customFormat="false" ht="45.75" hidden="false" customHeight="true" outlineLevel="0" collapsed="false">
      <c r="A12" s="21" t="s">
        <v>168</v>
      </c>
      <c r="B12" s="21" t="s">
        <v>169</v>
      </c>
      <c r="C12" s="13" t="s">
        <v>170</v>
      </c>
      <c r="D12" s="22" t="s">
        <v>171</v>
      </c>
      <c r="E12" s="22" t="s">
        <v>172</v>
      </c>
      <c r="F12" s="23" t="s">
        <v>173</v>
      </c>
      <c r="G12" s="24" t="s">
        <v>174</v>
      </c>
      <c r="H12" s="24" t="s">
        <v>175</v>
      </c>
      <c r="I12" s="13" t="s">
        <v>125</v>
      </c>
      <c r="J12" s="13" t="s">
        <v>32</v>
      </c>
      <c r="K12" s="13" t="s">
        <v>88</v>
      </c>
      <c r="L12" s="13" t="s">
        <v>176</v>
      </c>
      <c r="M12" s="13" t="s">
        <v>177</v>
      </c>
      <c r="N12" s="13" t="s">
        <v>178</v>
      </c>
      <c r="O12" s="13" t="s">
        <v>179</v>
      </c>
      <c r="P12" s="25"/>
      <c r="Q12" s="25"/>
      <c r="R12" s="25"/>
      <c r="S12" s="25"/>
    </row>
    <row r="13" customFormat="false" ht="57" hidden="false" customHeight="true" outlineLevel="0" collapsed="false">
      <c r="A13" s="21" t="s">
        <v>180</v>
      </c>
      <c r="B13" s="21" t="s">
        <v>181</v>
      </c>
      <c r="C13" s="13" t="s">
        <v>182</v>
      </c>
      <c r="D13" s="22" t="s">
        <v>183</v>
      </c>
      <c r="E13" s="22" t="s">
        <v>184</v>
      </c>
      <c r="F13" s="23" t="s">
        <v>185</v>
      </c>
      <c r="G13" s="24" t="s">
        <v>186</v>
      </c>
      <c r="H13" s="24" t="s">
        <v>187</v>
      </c>
      <c r="I13" s="13" t="s">
        <v>101</v>
      </c>
      <c r="J13" s="13" t="s">
        <v>33</v>
      </c>
      <c r="K13" s="13"/>
      <c r="L13" s="13" t="s">
        <v>188</v>
      </c>
      <c r="M13" s="13" t="s">
        <v>189</v>
      </c>
      <c r="N13" s="13" t="s">
        <v>190</v>
      </c>
      <c r="O13" s="13" t="s">
        <v>191</v>
      </c>
      <c r="P13" s="25"/>
      <c r="Q13" s="25"/>
      <c r="R13" s="25"/>
      <c r="S13" s="25"/>
    </row>
    <row r="14" customFormat="false" ht="57" hidden="false" customHeight="true" outlineLevel="0" collapsed="false">
      <c r="A14" s="21" t="s">
        <v>192</v>
      </c>
      <c r="B14" s="21" t="s">
        <v>193</v>
      </c>
      <c r="C14" s="13" t="s">
        <v>194</v>
      </c>
      <c r="D14" s="22" t="s">
        <v>195</v>
      </c>
      <c r="E14" s="22" t="s">
        <v>196</v>
      </c>
      <c r="F14" s="23" t="s">
        <v>197</v>
      </c>
      <c r="G14" s="24" t="s">
        <v>198</v>
      </c>
      <c r="H14" s="24" t="s">
        <v>199</v>
      </c>
      <c r="I14" s="13" t="s">
        <v>87</v>
      </c>
      <c r="J14" s="13" t="s">
        <v>32</v>
      </c>
      <c r="K14" s="13" t="s">
        <v>88</v>
      </c>
      <c r="L14" s="13" t="s">
        <v>200</v>
      </c>
      <c r="M14" s="13" t="s">
        <v>201</v>
      </c>
      <c r="N14" s="13" t="s">
        <v>202</v>
      </c>
      <c r="O14" s="13" t="s">
        <v>203</v>
      </c>
      <c r="P14" s="25"/>
      <c r="Q14" s="25"/>
      <c r="R14" s="25"/>
      <c r="S14" s="25"/>
    </row>
    <row r="15" customFormat="false" ht="45.75" hidden="false" customHeight="true" outlineLevel="0" collapsed="false">
      <c r="A15" s="21" t="s">
        <v>204</v>
      </c>
      <c r="B15" s="21" t="s">
        <v>205</v>
      </c>
      <c r="C15" s="13" t="s">
        <v>206</v>
      </c>
      <c r="D15" s="22" t="s">
        <v>207</v>
      </c>
      <c r="E15" s="22" t="s">
        <v>208</v>
      </c>
      <c r="F15" s="23" t="s">
        <v>209</v>
      </c>
      <c r="G15" s="24" t="s">
        <v>210</v>
      </c>
      <c r="H15" s="24" t="s">
        <v>211</v>
      </c>
      <c r="I15" s="13" t="s">
        <v>101</v>
      </c>
      <c r="J15" s="13" t="s">
        <v>32</v>
      </c>
      <c r="K15" s="13" t="s">
        <v>88</v>
      </c>
      <c r="L15" s="13" t="s">
        <v>212</v>
      </c>
      <c r="M15" s="13" t="s">
        <v>213</v>
      </c>
      <c r="N15" s="13" t="s">
        <v>214</v>
      </c>
      <c r="O15" s="13" t="s">
        <v>215</v>
      </c>
      <c r="P15" s="25"/>
      <c r="Q15" s="25"/>
      <c r="R15" s="25"/>
      <c r="S15" s="25"/>
    </row>
    <row r="16" customFormat="false" ht="45.75" hidden="false" customHeight="true" outlineLevel="0" collapsed="false">
      <c r="A16" s="21" t="s">
        <v>216</v>
      </c>
      <c r="B16" s="21" t="s">
        <v>217</v>
      </c>
      <c r="C16" s="13" t="s">
        <v>218</v>
      </c>
      <c r="D16" s="22" t="s">
        <v>219</v>
      </c>
      <c r="E16" s="22" t="s">
        <v>220</v>
      </c>
      <c r="F16" s="23" t="s">
        <v>221</v>
      </c>
      <c r="G16" s="24" t="s">
        <v>222</v>
      </c>
      <c r="H16" s="24" t="s">
        <v>223</v>
      </c>
      <c r="I16" s="13" t="s">
        <v>224</v>
      </c>
      <c r="J16" s="13" t="s">
        <v>33</v>
      </c>
      <c r="K16" s="13"/>
      <c r="L16" s="13" t="s">
        <v>225</v>
      </c>
      <c r="M16" s="13" t="s">
        <v>226</v>
      </c>
      <c r="N16" s="13" t="s">
        <v>227</v>
      </c>
      <c r="O16" s="13" t="s">
        <v>228</v>
      </c>
      <c r="P16" s="25"/>
      <c r="Q16" s="25"/>
      <c r="R16" s="25"/>
      <c r="S16" s="25"/>
    </row>
    <row r="17" customFormat="false" ht="45.75" hidden="false" customHeight="true" outlineLevel="0" collapsed="false">
      <c r="A17" s="21" t="s">
        <v>229</v>
      </c>
      <c r="B17" s="21" t="s">
        <v>230</v>
      </c>
      <c r="C17" s="13" t="s">
        <v>231</v>
      </c>
      <c r="D17" s="22" t="s">
        <v>232</v>
      </c>
      <c r="E17" s="22" t="s">
        <v>233</v>
      </c>
      <c r="F17" s="23" t="s">
        <v>234</v>
      </c>
      <c r="G17" s="24" t="s">
        <v>235</v>
      </c>
      <c r="H17" s="24" t="s">
        <v>236</v>
      </c>
      <c r="I17" s="13" t="s">
        <v>87</v>
      </c>
      <c r="J17" s="13" t="s">
        <v>32</v>
      </c>
      <c r="K17" s="13" t="s">
        <v>88</v>
      </c>
      <c r="L17" s="13" t="s">
        <v>237</v>
      </c>
      <c r="M17" s="13" t="s">
        <v>238</v>
      </c>
      <c r="N17" s="13" t="s">
        <v>239</v>
      </c>
      <c r="O17" s="13" t="s">
        <v>240</v>
      </c>
      <c r="P17" s="25"/>
      <c r="Q17" s="25"/>
      <c r="R17" s="25"/>
      <c r="S17" s="25"/>
    </row>
    <row r="18" customFormat="false" ht="57" hidden="false" customHeight="true" outlineLevel="0" collapsed="false">
      <c r="A18" s="21" t="s">
        <v>241</v>
      </c>
      <c r="B18" s="21" t="s">
        <v>242</v>
      </c>
      <c r="C18" s="13" t="s">
        <v>243</v>
      </c>
      <c r="D18" s="22" t="s">
        <v>244</v>
      </c>
      <c r="E18" s="22" t="s">
        <v>245</v>
      </c>
      <c r="F18" s="23" t="s">
        <v>246</v>
      </c>
      <c r="G18" s="24" t="s">
        <v>247</v>
      </c>
      <c r="H18" s="24" t="s">
        <v>248</v>
      </c>
      <c r="I18" s="13" t="s">
        <v>101</v>
      </c>
      <c r="J18" s="13" t="s">
        <v>33</v>
      </c>
      <c r="K18" s="13"/>
      <c r="L18" s="13" t="s">
        <v>249</v>
      </c>
      <c r="M18" s="13" t="s">
        <v>250</v>
      </c>
      <c r="N18" s="13" t="s">
        <v>251</v>
      </c>
      <c r="O18" s="13" t="s">
        <v>252</v>
      </c>
      <c r="P18" s="25"/>
      <c r="Q18" s="25"/>
      <c r="R18" s="25"/>
      <c r="S18" s="25"/>
    </row>
    <row r="19" customFormat="false" ht="45.75" hidden="false" customHeight="true" outlineLevel="0" collapsed="false">
      <c r="A19" s="21" t="s">
        <v>253</v>
      </c>
      <c r="B19" s="21" t="s">
        <v>254</v>
      </c>
      <c r="C19" s="13" t="s">
        <v>255</v>
      </c>
      <c r="D19" s="22" t="s">
        <v>256</v>
      </c>
      <c r="E19" s="22" t="s">
        <v>257</v>
      </c>
      <c r="F19" s="23" t="s">
        <v>258</v>
      </c>
      <c r="G19" s="24" t="s">
        <v>259</v>
      </c>
      <c r="H19" s="24" t="s">
        <v>260</v>
      </c>
      <c r="I19" s="13" t="s">
        <v>101</v>
      </c>
      <c r="J19" s="13" t="s">
        <v>32</v>
      </c>
      <c r="K19" s="13" t="s">
        <v>88</v>
      </c>
      <c r="L19" s="13" t="s">
        <v>261</v>
      </c>
      <c r="M19" s="13" t="s">
        <v>262</v>
      </c>
      <c r="N19" s="13" t="s">
        <v>263</v>
      </c>
      <c r="O19" s="13" t="s">
        <v>264</v>
      </c>
      <c r="P19" s="25"/>
      <c r="Q19" s="25"/>
      <c r="R19" s="25"/>
      <c r="S19" s="25"/>
    </row>
    <row r="20" customFormat="false" ht="34.5" hidden="false" customHeight="true" outlineLevel="0" collapsed="false">
      <c r="A20" s="21" t="s">
        <v>265</v>
      </c>
      <c r="B20" s="21" t="s">
        <v>266</v>
      </c>
      <c r="C20" s="13" t="s">
        <v>267</v>
      </c>
      <c r="D20" s="22" t="s">
        <v>268</v>
      </c>
      <c r="E20" s="22" t="s">
        <v>269</v>
      </c>
      <c r="F20" s="23" t="s">
        <v>270</v>
      </c>
      <c r="G20" s="24" t="s">
        <v>271</v>
      </c>
      <c r="H20" s="24" t="s">
        <v>272</v>
      </c>
      <c r="I20" s="13" t="s">
        <v>29</v>
      </c>
      <c r="J20" s="13" t="s">
        <v>32</v>
      </c>
      <c r="K20" s="13" t="s">
        <v>88</v>
      </c>
      <c r="L20" s="13" t="s">
        <v>273</v>
      </c>
      <c r="M20" s="13" t="s">
        <v>274</v>
      </c>
      <c r="N20" s="13" t="s">
        <v>275</v>
      </c>
      <c r="O20" s="13" t="s">
        <v>276</v>
      </c>
      <c r="P20" s="25"/>
      <c r="Q20" s="25"/>
      <c r="R20" s="25"/>
      <c r="S20" s="25"/>
    </row>
    <row r="21" customFormat="false" ht="45.75" hidden="false" customHeight="true" outlineLevel="0" collapsed="false">
      <c r="A21" s="21" t="s">
        <v>277</v>
      </c>
      <c r="B21" s="21" t="s">
        <v>278</v>
      </c>
      <c r="C21" s="13" t="s">
        <v>279</v>
      </c>
      <c r="D21" s="22" t="s">
        <v>280</v>
      </c>
      <c r="E21" s="22" t="s">
        <v>281</v>
      </c>
      <c r="F21" s="23" t="s">
        <v>282</v>
      </c>
      <c r="G21" s="24" t="s">
        <v>283</v>
      </c>
      <c r="H21" s="24" t="s">
        <v>284</v>
      </c>
      <c r="I21" s="13" t="s">
        <v>101</v>
      </c>
      <c r="J21" s="13" t="s">
        <v>32</v>
      </c>
      <c r="K21" s="13" t="s">
        <v>88</v>
      </c>
      <c r="L21" s="13" t="s">
        <v>285</v>
      </c>
      <c r="M21" s="13" t="s">
        <v>286</v>
      </c>
      <c r="N21" s="13" t="s">
        <v>287</v>
      </c>
      <c r="O21" s="13" t="s">
        <v>288</v>
      </c>
      <c r="P21" s="25"/>
      <c r="Q21" s="25"/>
      <c r="R21" s="25"/>
      <c r="S21" s="25"/>
    </row>
    <row r="22" customFormat="false" ht="45.75" hidden="false" customHeight="true" outlineLevel="0" collapsed="false">
      <c r="A22" s="21" t="s">
        <v>289</v>
      </c>
      <c r="B22" s="21" t="s">
        <v>290</v>
      </c>
      <c r="C22" s="13" t="s">
        <v>291</v>
      </c>
      <c r="D22" s="22" t="s">
        <v>292</v>
      </c>
      <c r="E22" s="22" t="s">
        <v>293</v>
      </c>
      <c r="F22" s="23" t="s">
        <v>294</v>
      </c>
      <c r="G22" s="24" t="s">
        <v>295</v>
      </c>
      <c r="H22" s="24" t="s">
        <v>296</v>
      </c>
      <c r="I22" s="13" t="s">
        <v>87</v>
      </c>
      <c r="J22" s="13" t="s">
        <v>33</v>
      </c>
      <c r="K22" s="13"/>
      <c r="L22" s="13" t="s">
        <v>297</v>
      </c>
      <c r="M22" s="13" t="s">
        <v>298</v>
      </c>
      <c r="N22" s="13" t="s">
        <v>299</v>
      </c>
      <c r="O22" s="13" t="s">
        <v>300</v>
      </c>
      <c r="P22" s="25"/>
      <c r="Q22" s="25"/>
      <c r="R22" s="25"/>
      <c r="S22" s="25"/>
    </row>
    <row r="23" customFormat="false" ht="34.5" hidden="false" customHeight="true" outlineLevel="0" collapsed="false">
      <c r="A23" s="21" t="s">
        <v>301</v>
      </c>
      <c r="B23" s="21" t="s">
        <v>302</v>
      </c>
      <c r="C23" s="13" t="s">
        <v>303</v>
      </c>
      <c r="D23" s="22" t="s">
        <v>304</v>
      </c>
      <c r="E23" s="22" t="s">
        <v>305</v>
      </c>
      <c r="F23" s="23" t="s">
        <v>306</v>
      </c>
      <c r="G23" s="24" t="s">
        <v>307</v>
      </c>
      <c r="H23" s="24" t="s">
        <v>308</v>
      </c>
      <c r="I23" s="13" t="s">
        <v>309</v>
      </c>
      <c r="J23" s="13" t="s">
        <v>33</v>
      </c>
      <c r="K23" s="13"/>
      <c r="L23" s="13" t="s">
        <v>310</v>
      </c>
      <c r="M23" s="13" t="s">
        <v>311</v>
      </c>
      <c r="N23" s="13" t="s">
        <v>312</v>
      </c>
      <c r="O23" s="13" t="s">
        <v>313</v>
      </c>
      <c r="P23" s="25"/>
      <c r="Q23" s="25"/>
      <c r="R23" s="25"/>
      <c r="S23" s="25"/>
    </row>
    <row r="24" customFormat="false" ht="57" hidden="false" customHeight="true" outlineLevel="0" collapsed="false">
      <c r="A24" s="21" t="s">
        <v>314</v>
      </c>
      <c r="B24" s="21" t="s">
        <v>315</v>
      </c>
      <c r="C24" s="13" t="s">
        <v>316</v>
      </c>
      <c r="D24" s="22" t="s">
        <v>317</v>
      </c>
      <c r="E24" s="22" t="s">
        <v>318</v>
      </c>
      <c r="F24" s="23" t="s">
        <v>319</v>
      </c>
      <c r="G24" s="24" t="s">
        <v>320</v>
      </c>
      <c r="H24" s="24" t="s">
        <v>321</v>
      </c>
      <c r="I24" s="13" t="s">
        <v>322</v>
      </c>
      <c r="J24" s="13" t="s">
        <v>32</v>
      </c>
      <c r="K24" s="13" t="s">
        <v>323</v>
      </c>
      <c r="L24" s="13" t="s">
        <v>324</v>
      </c>
      <c r="M24" s="13" t="s">
        <v>325</v>
      </c>
      <c r="N24" s="13" t="s">
        <v>326</v>
      </c>
      <c r="O24" s="13" t="s">
        <v>327</v>
      </c>
      <c r="P24" s="25"/>
      <c r="Q24" s="25"/>
      <c r="R24" s="25"/>
      <c r="S24" s="25"/>
    </row>
    <row r="25" customFormat="false" ht="34.5" hidden="false" customHeight="true" outlineLevel="0" collapsed="false">
      <c r="A25" s="21" t="s">
        <v>328</v>
      </c>
      <c r="B25" s="21" t="s">
        <v>329</v>
      </c>
      <c r="C25" s="13" t="s">
        <v>330</v>
      </c>
      <c r="D25" s="22" t="s">
        <v>331</v>
      </c>
      <c r="E25" s="22" t="s">
        <v>332</v>
      </c>
      <c r="F25" s="23" t="s">
        <v>333</v>
      </c>
      <c r="G25" s="24" t="s">
        <v>334</v>
      </c>
      <c r="H25" s="24" t="s">
        <v>335</v>
      </c>
      <c r="I25" s="13" t="s">
        <v>151</v>
      </c>
      <c r="J25" s="13" t="s">
        <v>33</v>
      </c>
      <c r="K25" s="13" t="s">
        <v>336</v>
      </c>
      <c r="L25" s="13" t="s">
        <v>337</v>
      </c>
      <c r="M25" s="13" t="s">
        <v>338</v>
      </c>
      <c r="N25" s="13" t="s">
        <v>339</v>
      </c>
      <c r="O25" s="13" t="s">
        <v>340</v>
      </c>
      <c r="P25" s="25"/>
      <c r="Q25" s="25"/>
      <c r="R25" s="25"/>
      <c r="S25" s="25"/>
    </row>
    <row r="26" customFormat="false" ht="45.75" hidden="false" customHeight="true" outlineLevel="0" collapsed="false">
      <c r="A26" s="21" t="s">
        <v>341</v>
      </c>
      <c r="B26" s="21" t="s">
        <v>342</v>
      </c>
      <c r="C26" s="13" t="s">
        <v>95</v>
      </c>
      <c r="D26" s="22" t="s">
        <v>343</v>
      </c>
      <c r="E26" s="22" t="s">
        <v>344</v>
      </c>
      <c r="F26" s="23" t="s">
        <v>345</v>
      </c>
      <c r="G26" s="24" t="s">
        <v>346</v>
      </c>
      <c r="H26" s="24" t="s">
        <v>347</v>
      </c>
      <c r="I26" s="13" t="s">
        <v>309</v>
      </c>
      <c r="J26" s="13" t="s">
        <v>32</v>
      </c>
      <c r="K26" s="13" t="s">
        <v>88</v>
      </c>
      <c r="L26" s="13" t="s">
        <v>348</v>
      </c>
      <c r="M26" s="13" t="s">
        <v>349</v>
      </c>
      <c r="N26" s="13" t="s">
        <v>350</v>
      </c>
      <c r="O26" s="13" t="s">
        <v>351</v>
      </c>
      <c r="P26" s="25"/>
      <c r="Q26" s="25"/>
      <c r="R26" s="25"/>
      <c r="S26" s="25"/>
    </row>
    <row r="27" customFormat="false" ht="34.5" hidden="false" customHeight="true" outlineLevel="0" collapsed="false">
      <c r="A27" s="21" t="s">
        <v>352</v>
      </c>
      <c r="B27" s="21" t="s">
        <v>353</v>
      </c>
      <c r="C27" s="13" t="s">
        <v>95</v>
      </c>
      <c r="D27" s="22" t="s">
        <v>354</v>
      </c>
      <c r="E27" s="22" t="s">
        <v>355</v>
      </c>
      <c r="F27" s="23" t="s">
        <v>356</v>
      </c>
      <c r="G27" s="24" t="s">
        <v>357</v>
      </c>
      <c r="H27" s="24" t="s">
        <v>358</v>
      </c>
      <c r="I27" s="13" t="s">
        <v>359</v>
      </c>
      <c r="J27" s="13" t="s">
        <v>32</v>
      </c>
      <c r="K27" s="13" t="s">
        <v>336</v>
      </c>
      <c r="L27" s="13" t="s">
        <v>360</v>
      </c>
      <c r="M27" s="13" t="s">
        <v>361</v>
      </c>
      <c r="N27" s="13" t="s">
        <v>362</v>
      </c>
      <c r="O27" s="13" t="s">
        <v>363</v>
      </c>
      <c r="P27" s="25"/>
      <c r="Q27" s="25"/>
      <c r="R27" s="25"/>
      <c r="S27" s="25"/>
    </row>
  </sheetData>
  <dataValidations count="1">
    <dataValidation allowBlank="true" errorStyle="stop" operator="between" showDropDown="false" showErrorMessage="false" showInputMessage="false" sqref="P5:P27" type="list">
      <formula1>"Accept,Accept with changes,Needs discussion,Defer,Reject"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4"/>
    <col collapsed="false" customWidth="true" hidden="false" outlineLevel="0" max="3" min="3" style="0" width="10"/>
    <col collapsed="false" customWidth="true" hidden="false" outlineLevel="0" max="4" min="4" style="0" width="32"/>
    <col collapsed="false" customWidth="true" hidden="false" outlineLevel="0" max="5" min="5" style="0" width="34"/>
    <col collapsed="false" customWidth="true" hidden="false" outlineLevel="0" max="6" min="6" style="0" width="40"/>
    <col collapsed="false" customWidth="true" hidden="false" outlineLevel="0" max="7" min="7" style="0" width="42"/>
    <col collapsed="false" customWidth="true" hidden="false" outlineLevel="0" max="8" min="8" style="0" width="34"/>
    <col collapsed="false" customWidth="true" hidden="false" outlineLevel="0" max="9" min="9" style="0" width="28"/>
    <col collapsed="false" customWidth="true" hidden="false" outlineLevel="0" max="10" min="10" style="0" width="46"/>
    <col collapsed="false" customWidth="true" hidden="false" outlineLevel="0" max="11" min="11" style="0" width="50"/>
    <col collapsed="false" customWidth="true" hidden="false" outlineLevel="0" max="12" min="12" style="0" width="34"/>
    <col collapsed="false" customWidth="true" hidden="false" outlineLevel="0" max="13" min="13" style="0" width="40"/>
    <col collapsed="false" customWidth="true" hidden="false" outlineLevel="0" max="15" min="14" style="0" width="8"/>
    <col collapsed="false" customWidth="true" hidden="false" outlineLevel="0" max="18" min="16" style="0" width="11"/>
  </cols>
  <sheetData>
    <row r="1" customFormat="false" ht="17.35" hidden="false" customHeight="false" outlineLevel="0" collapsed="false">
      <c r="A1" s="26" t="s">
        <v>364</v>
      </c>
    </row>
    <row r="2" customFormat="false" ht="27.75" hidden="false" customHeight="true" outlineLevel="0" collapsed="false">
      <c r="A2" s="27" t="s">
        <v>365</v>
      </c>
      <c r="B2" s="27"/>
      <c r="C2" s="27"/>
      <c r="D2" s="27"/>
      <c r="E2" s="27"/>
      <c r="F2" s="27"/>
      <c r="G2" s="27"/>
      <c r="H2" s="27"/>
      <c r="I2" s="27"/>
      <c r="J2" s="27"/>
      <c r="K2" s="27"/>
      <c r="L2" s="27"/>
      <c r="M2" s="27"/>
      <c r="N2" s="27"/>
      <c r="O2" s="27"/>
      <c r="P2" s="27"/>
      <c r="Q2" s="27"/>
      <c r="R2" s="27"/>
    </row>
    <row r="4" customFormat="false" ht="43.5" hidden="false" customHeight="true" outlineLevel="0" collapsed="false">
      <c r="A4" s="18" t="s">
        <v>62</v>
      </c>
      <c r="B4" s="18" t="s">
        <v>63</v>
      </c>
      <c r="C4" s="18" t="s">
        <v>64</v>
      </c>
      <c r="D4" s="18" t="s">
        <v>366</v>
      </c>
      <c r="E4" s="19" t="s">
        <v>367</v>
      </c>
      <c r="F4" s="20" t="s">
        <v>368</v>
      </c>
      <c r="G4" s="20" t="s">
        <v>369</v>
      </c>
      <c r="H4" s="20" t="s">
        <v>370</v>
      </c>
      <c r="I4" s="20" t="s">
        <v>371</v>
      </c>
      <c r="J4" s="18" t="s">
        <v>372</v>
      </c>
      <c r="K4" s="19" t="s">
        <v>373</v>
      </c>
      <c r="L4" s="19" t="s">
        <v>374</v>
      </c>
      <c r="M4" s="19" t="s">
        <v>375</v>
      </c>
      <c r="N4" s="9" t="s">
        <v>376</v>
      </c>
      <c r="O4" s="9" t="s">
        <v>377</v>
      </c>
      <c r="P4" s="9" t="s">
        <v>56</v>
      </c>
      <c r="Q4" s="9" t="s">
        <v>57</v>
      </c>
      <c r="R4" s="9" t="s">
        <v>58</v>
      </c>
    </row>
    <row r="5" customFormat="false" ht="158.2" hidden="false" customHeight="false" outlineLevel="0" collapsed="false">
      <c r="A5" s="28" t="s">
        <v>79</v>
      </c>
      <c r="B5" s="28" t="str">
        <f aca="false">VLOOKUP(A5,'Re-engineering Map'!$A$5:$O$27,2,FALSE())</f>
        <v>Driver-based budget with commitment control</v>
      </c>
      <c r="C5" s="22" t="str">
        <f aca="false">VLOOKUP(A5,'Re-engineering Map'!$A$5:$O$27,3,FALSE())</f>
        <v>01</v>
      </c>
      <c r="D5" s="22" t="str">
        <f aca="false">VLOOKUP(A5,'Re-engineering Map'!$A$5:$O$27,4,FALSE())</f>
        <v>Annual static budget: departments and PDD fill templates, Finance consolidates, ManCom approves. Spending is checked against budget mainly when the bill arrives.</v>
      </c>
      <c r="E5" s="23" t="str">
        <f aca="false">VLOOKUP(A5,'Re-engineering Map'!$A$5:$O$27,6,FALSE())</f>
        <v>Build the budget from drivers (units, prices, cost per sqm, headcount) and reforecast quarterly. Check budget availability at purchase request and reserve the amount (commitment control).</v>
      </c>
      <c r="F5" s="24" t="s">
        <v>378</v>
      </c>
      <c r="G5" s="24" t="s">
        <v>379</v>
      </c>
      <c r="H5" s="24" t="s">
        <v>380</v>
      </c>
      <c r="I5" s="24" t="str">
        <f aca="false">VLOOKUP(A5,'Re-engineering Map'!$A$5:$O$27,14,FALSE())&amp;" → "&amp;VLOOKUP(A5,'Re-engineering Map'!$A$5:$O$27,15,FALSE())</f>
        <v>% of POs budget-checked at request; full-year forecast accuracy → 100% of POs; within ±5% by Q3</v>
      </c>
      <c r="J5" s="22" t="s">
        <v>381</v>
      </c>
      <c r="K5" s="23" t="s">
        <v>382</v>
      </c>
      <c r="L5" s="23" t="s">
        <v>383</v>
      </c>
      <c r="M5" s="23" t="s">
        <v>384</v>
      </c>
      <c r="N5" s="29" t="n">
        <f aca="false">LEN(J5)-LEN(SUBSTITUTE(J5,CHAR(10),""))+1</f>
        <v>8</v>
      </c>
      <c r="O5" s="29" t="n">
        <f aca="false">LEN(K5)-LEN(SUBSTITUTE(K5,CHAR(10),""))+1</f>
        <v>8</v>
      </c>
      <c r="P5" s="29" t="n">
        <f aca="false">(LEN(J5)-LEN(SUBSTITUTE(J5,"[Manual]","")))/8+(LEN(J5)-LEN(SUBSTITUTE(J5,"[Paper]","")))/7+(LEN(J5)-LEN(SUBSTITUTE(J5,"[Rekey]","")))/7+(LEN(J5)-LEN(SUBSTITUTE(J5,"[Wait]","")))/6</f>
        <v>7</v>
      </c>
      <c r="Q5" s="29" t="n">
        <f aca="false">(LEN(K5)-LEN(SUBSTITUTE(K5,"[Auto]","")))/6+(LEN(K5)-LEN(SUBSTITUTE(K5,"[Rule]","")))/6</f>
        <v>4</v>
      </c>
      <c r="R5" s="29" t="n">
        <f aca="false">(LEN(K5)-LEN(SUBSTITUTE(K5,"[Earlier]","")))/9+(LEN(K5)-LEN(SUBSTITUTE(K5,"[Parallel]","")))/10</f>
        <v>0</v>
      </c>
    </row>
    <row r="6" customFormat="false" ht="124.6" hidden="false" customHeight="false" outlineLevel="0" collapsed="false">
      <c r="A6" s="28" t="s">
        <v>93</v>
      </c>
      <c r="B6" s="28" t="str">
        <f aca="false">VLOOKUP(A6,'Re-engineering Map'!$A$5:$O$27,2,FALSE())</f>
        <v>One digital Delegation of Authority matrix</v>
      </c>
      <c r="C6" s="22" t="str">
        <f aca="false">VLOOKUP(A6,'Re-engineering Map'!$A$5:$O$27,3,FALSE())</f>
        <v>All</v>
      </c>
      <c r="D6" s="22" t="str">
        <f aca="false">VLOOKUP(A6,'Re-engineering Map'!$A$5:$O$27,4,FALSE())</f>
        <v>Sequential approval chains defined per document type (e.g., LAD Officer → Head → Legal → Finance → CFO/CEO; Dept Head → OM → Budget Authority), largely on paper and email.</v>
      </c>
      <c r="E6" s="23" t="str">
        <f aca="false">VLOOKUP(A6,'Re-engineering Map'!$A$5:$O$27,6,FALSE())</f>
        <v>One Board-approved DOA matrix by document type, amount and risk, configured once in Odoo. Independent reviews (e.g., Legal and Finance) run in parallel. Approval SLAs with auto-escalation. Low-value, in-budget items auto-approved and sampled monthly.</v>
      </c>
      <c r="F6" s="24" t="s">
        <v>385</v>
      </c>
      <c r="G6" s="24" t="s">
        <v>386</v>
      </c>
      <c r="H6" s="24" t="s">
        <v>387</v>
      </c>
      <c r="I6" s="24" t="str">
        <f aca="false">VLOOKUP(A6,'Re-engineering Map'!$A$5:$O$27,14,FALSE())&amp;" → "&amp;VLOOKUP(A6,'Re-engineering Map'!$A$5:$O$27,15,FALSE())</f>
        <v>Median approval cycle time; % approvals within SLA → ≤ 2 working days; ≥ 90% within SLA</v>
      </c>
      <c r="J6" s="22" t="s">
        <v>388</v>
      </c>
      <c r="K6" s="23" t="s">
        <v>389</v>
      </c>
      <c r="L6" s="23" t="s">
        <v>390</v>
      </c>
      <c r="M6" s="23" t="s">
        <v>391</v>
      </c>
      <c r="N6" s="29" t="n">
        <f aca="false">LEN(J6)-LEN(SUBSTITUTE(J6,CHAR(10),""))+1</f>
        <v>7</v>
      </c>
      <c r="O6" s="29" t="n">
        <f aca="false">LEN(K6)-LEN(SUBSTITUTE(K6,CHAR(10),""))+1</f>
        <v>7</v>
      </c>
      <c r="P6" s="29" t="n">
        <f aca="false">(LEN(J6)-LEN(SUBSTITUTE(J6,"[Manual]","")))/8+(LEN(J6)-LEN(SUBSTITUTE(J6,"[Paper]","")))/7+(LEN(J6)-LEN(SUBSTITUTE(J6,"[Rekey]","")))/7+(LEN(J6)-LEN(SUBSTITUTE(J6,"[Wait]","")))/6</f>
        <v>7</v>
      </c>
      <c r="Q6" s="29" t="n">
        <f aca="false">(LEN(K6)-LEN(SUBSTITUTE(K6,"[Auto]","")))/6+(LEN(K6)-LEN(SUBSTITUTE(K6,"[Rule]","")))/6</f>
        <v>4</v>
      </c>
      <c r="R6" s="29" t="n">
        <f aca="false">(LEN(K6)-LEN(SUBSTITUTE(K6,"[Earlier]","")))/9+(LEN(K6)-LEN(SUBSTITUTE(K6,"[Parallel]","")))/10</f>
        <v>1</v>
      </c>
    </row>
    <row r="7" customFormat="false" ht="102.2" hidden="false" customHeight="false" outlineLevel="0" collapsed="false">
      <c r="A7" s="28" t="s">
        <v>106</v>
      </c>
      <c r="B7" s="28" t="str">
        <f aca="false">VLOOKUP(A7,'Re-engineering Map'!$A$5:$O$27,2,FALSE())</f>
        <v>Two-stage land due diligence with deal scorecard</v>
      </c>
      <c r="C7" s="22" t="str">
        <f aca="false">VLOOKUP(A7,'Re-engineering Map'!$A$5:$O$27,3,FALSE())</f>
        <v>04</v>
      </c>
      <c r="D7" s="22" t="str">
        <f aca="false">VLOOKUP(A7,'Re-engineering Map'!$A$5:$O$27,4,FALSE())</f>
        <v>Due diligence on title, survey, zoning and appraisal runs largely one step after another before ManCom evaluates the deal.</v>
      </c>
      <c r="E7" s="23" t="str">
        <f aca="false">VLOOKUP(A7,'Re-engineering Map'!$A$5:$O$27,6,FALSE())</f>
        <v>Stage 1: screen knock-out criteria (title, CARP/DAR, zoning, access) within days. Stage 2: run the full DD workstreams in parallel. Present every deal to ManCom on one standard scorecard (price, yield, risks). One digital deal room per parcel.</v>
      </c>
      <c r="F7" s="24" t="s">
        <v>392</v>
      </c>
      <c r="G7" s="24" t="s">
        <v>393</v>
      </c>
      <c r="H7" s="24" t="s">
        <v>394</v>
      </c>
      <c r="I7" s="24" t="str">
        <f aca="false">VLOOKUP(A7,'Re-engineering Map'!$A$5:$O$27,14,FALSE())&amp;" → "&amp;VLOOKUP(A7,'Re-engineering Map'!$A$5:$O$27,15,FALSE())</f>
        <v>Days from opportunity logged to go/no-go; DD spend on rejected deals → Go/no-go ≤ 15 working days</v>
      </c>
      <c r="J7" s="22" t="s">
        <v>395</v>
      </c>
      <c r="K7" s="23" t="s">
        <v>396</v>
      </c>
      <c r="L7" s="23" t="s">
        <v>397</v>
      </c>
      <c r="M7" s="23" t="s">
        <v>398</v>
      </c>
      <c r="N7" s="29" t="n">
        <f aca="false">LEN(J7)-LEN(SUBSTITUTE(J7,CHAR(10),""))+1</f>
        <v>7</v>
      </c>
      <c r="O7" s="29" t="n">
        <f aca="false">LEN(K7)-LEN(SUBSTITUTE(K7,CHAR(10),""))+1</f>
        <v>7</v>
      </c>
      <c r="P7" s="29" t="n">
        <f aca="false">(LEN(J7)-LEN(SUBSTITUTE(J7,"[Manual]","")))/8+(LEN(J7)-LEN(SUBSTITUTE(J7,"[Paper]","")))/7+(LEN(J7)-LEN(SUBSTITUTE(J7,"[Rekey]","")))/7+(LEN(J7)-LEN(SUBSTITUTE(J7,"[Wait]","")))/6</f>
        <v>6</v>
      </c>
      <c r="Q7" s="29" t="n">
        <f aca="false">(LEN(K7)-LEN(SUBSTITUTE(K7,"[Auto]","")))/6+(LEN(K7)-LEN(SUBSTITUTE(K7,"[Rule]","")))/6</f>
        <v>3</v>
      </c>
      <c r="R7" s="29" t="n">
        <f aca="false">(LEN(K7)-LEN(SUBSTITUTE(K7,"[Earlier]","")))/9+(LEN(K7)-LEN(SUBSTITUTE(K7,"[Parallel]","")))/10</f>
        <v>1</v>
      </c>
    </row>
    <row r="8" customFormat="false" ht="102.2" hidden="false" customHeight="false" outlineLevel="0" collapsed="false">
      <c r="A8" s="28" t="s">
        <v>118</v>
      </c>
      <c r="B8" s="28" t="str">
        <f aca="false">VLOOKUP(A8,'Re-engineering Map'!$A$5:$O$27,2,FALSE())</f>
        <v>Evidence-based land payments and filing calendar</v>
      </c>
      <c r="C8" s="22" t="str">
        <f aca="false">VLOOKUP(A8,'Re-engineering Map'!$A$5:$O$27,3,FALSE())</f>
        <v>04</v>
      </c>
      <c r="D8" s="22" t="str">
        <f aca="false">VLOOKUP(A8,'Re-engineering Map'!$A$5:$O$27,4,FALSE())</f>
        <v>Milestone payments released on request; tax filings and title transfer tracked manually.</v>
      </c>
      <c r="E8" s="23" t="str">
        <f aca="false">VLOOKUP(A8,'Re-engineering Map'!$A$5:$O$27,6,FALSE())</f>
        <v>Release a milestone payment only when its evidence is uploaded and verified by Legal. Generate a statutory filing calendar (CGT, DST, transfer tax, RD) automatically at deed signing. Keep a titles-in-transit register.</v>
      </c>
      <c r="F8" s="24" t="s">
        <v>399</v>
      </c>
      <c r="G8" s="24" t="s">
        <v>400</v>
      </c>
      <c r="H8" s="24" t="s">
        <v>401</v>
      </c>
      <c r="I8" s="24" t="str">
        <f aca="false">VLOOKUP(A8,'Re-engineering Map'!$A$5:$O$27,14,FALSE())&amp;" → "&amp;VLOOKUP(A8,'Re-engineering Map'!$A$5:$O$27,15,FALSE())</f>
        <v>Filing penalties paid; % milestone payments with verified evidence → Zero penalties; 100%</v>
      </c>
      <c r="J8" s="22" t="s">
        <v>402</v>
      </c>
      <c r="K8" s="23" t="s">
        <v>403</v>
      </c>
      <c r="L8" s="23" t="s">
        <v>404</v>
      </c>
      <c r="M8" s="23" t="s">
        <v>405</v>
      </c>
      <c r="N8" s="29" t="n">
        <f aca="false">LEN(J8)-LEN(SUBSTITUTE(J8,CHAR(10),""))+1</f>
        <v>7</v>
      </c>
      <c r="O8" s="29" t="n">
        <f aca="false">LEN(K8)-LEN(SUBSTITUTE(K8,CHAR(10),""))+1</f>
        <v>7</v>
      </c>
      <c r="P8" s="29" t="n">
        <f aca="false">(LEN(J8)-LEN(SUBSTITUTE(J8,"[Manual]","")))/8+(LEN(J8)-LEN(SUBSTITUTE(J8,"[Paper]","")))/7+(LEN(J8)-LEN(SUBSTITUTE(J8,"[Rekey]","")))/7+(LEN(J8)-LEN(SUBSTITUTE(J8,"[Wait]","")))/6</f>
        <v>6</v>
      </c>
      <c r="Q8" s="29" t="n">
        <f aca="false">(LEN(K8)-LEN(SUBSTITUTE(K8,"[Auto]","")))/6+(LEN(K8)-LEN(SUBSTITUTE(K8,"[Rule]","")))/6</f>
        <v>5</v>
      </c>
      <c r="R8" s="29" t="n">
        <f aca="false">(LEN(K8)-LEN(SUBSTITUTE(K8,"[Earlier]","")))/9+(LEN(K8)-LEN(SUBSTITUTE(K8,"[Parallel]","")))/10</f>
        <v>0</v>
      </c>
    </row>
    <row r="9" customFormat="false" ht="102.2" hidden="false" customHeight="false" outlineLevel="0" collapsed="false">
      <c r="A9" s="28" t="s">
        <v>130</v>
      </c>
      <c r="B9" s="28" t="str">
        <f aca="false">VLOOKUP(A9,'Re-engineering Map'!$A$5:$O$27,2,FALSE())</f>
        <v>Project templates and a hard License-to-Sell gate</v>
      </c>
      <c r="C9" s="22" t="str">
        <f aca="false">VLOOKUP(A9,'Re-engineering Map'!$A$5:$O$27,3,FALSE())</f>
        <v>05</v>
      </c>
      <c r="D9" s="22" t="str">
        <f aca="false">VLOOKUP(A9,'Re-engineering Map'!$A$5:$O$27,4,FALSE())</f>
        <v>Each project is set up with its own structure. Permits are tracked separately and selling readiness is judged case by case.</v>
      </c>
      <c r="E9" s="23" t="str">
        <f aca="false">VLOOKUP(A9,'Re-engineering Map'!$A$5:$O$27,6,FALSE())</f>
        <v>Project templates by type (horizontal, vertical, mixed-use) that clone WBS, cost codes, milestones and required documents. A launch gate with DP and License to Sell as hard criteria before any reservation can be made.</v>
      </c>
      <c r="F9" s="24" t="s">
        <v>406</v>
      </c>
      <c r="G9" s="24" t="s">
        <v>407</v>
      </c>
      <c r="H9" s="24" t="s">
        <v>408</v>
      </c>
      <c r="I9" s="24" t="str">
        <f aca="false">VLOOKUP(A9,'Re-engineering Map'!$A$5:$O$27,14,FALSE())&amp;" → "&amp;VLOOKUP(A9,'Re-engineering Map'!$A$5:$O$27,15,FALSE())</f>
        <v>Project setup time; reservations made before LTS → ≤ 5 working days; zero</v>
      </c>
      <c r="J9" s="22" t="s">
        <v>409</v>
      </c>
      <c r="K9" s="23" t="s">
        <v>410</v>
      </c>
      <c r="L9" s="23" t="s">
        <v>411</v>
      </c>
      <c r="M9" s="23" t="s">
        <v>412</v>
      </c>
      <c r="N9" s="29" t="n">
        <f aca="false">LEN(J9)-LEN(SUBSTITUTE(J9,CHAR(10),""))+1</f>
        <v>5</v>
      </c>
      <c r="O9" s="29" t="n">
        <f aca="false">LEN(K9)-LEN(SUBSTITUTE(K9,CHAR(10),""))+1</f>
        <v>6</v>
      </c>
      <c r="P9" s="29" t="n">
        <f aca="false">(LEN(J9)-LEN(SUBSTITUTE(J9,"[Manual]","")))/8+(LEN(J9)-LEN(SUBSTITUTE(J9,"[Paper]","")))/7+(LEN(J9)-LEN(SUBSTITUTE(J9,"[Rekey]","")))/7+(LEN(J9)-LEN(SUBSTITUTE(J9,"[Wait]","")))/6</f>
        <v>5</v>
      </c>
      <c r="Q9" s="29" t="n">
        <f aca="false">(LEN(K9)-LEN(SUBSTITUTE(K9,"[Auto]","")))/6+(LEN(K9)-LEN(SUBSTITUTE(K9,"[Rule]","")))/6</f>
        <v>3</v>
      </c>
      <c r="R9" s="29" t="n">
        <f aca="false">(LEN(K9)-LEN(SUBSTITUTE(K9,"[Earlier]","")))/9+(LEN(K9)-LEN(SUBSTITUTE(K9,"[Parallel]","")))/10</f>
        <v>0</v>
      </c>
    </row>
    <row r="10" customFormat="false" ht="91" hidden="false" customHeight="false" outlineLevel="0" collapsed="false">
      <c r="A10" s="28" t="s">
        <v>143</v>
      </c>
      <c r="B10" s="28" t="str">
        <f aca="false">VLOOKUP(A10,'Re-engineering Map'!$A$5:$O$27,2,FALSE())</f>
        <v>One Group cost-code structure</v>
      </c>
      <c r="C10" s="22" t="str">
        <f aca="false">VLOOKUP(A10,'Re-engineering Map'!$A$5:$O$27,3,FALSE())</f>
        <v>01, 06, 16, X2</v>
      </c>
      <c r="D10" s="22" t="str">
        <f aca="false">VLOOKUP(A10,'Re-engineering Map'!$A$5:$O$27,4,FALSE())</f>
        <v>Budget, POs, bills and reports may use different cost categories by project or department.</v>
      </c>
      <c r="E10" s="23" t="str">
        <f aca="false">VLOOKUP(A10,'Re-engineering Map'!$A$5:$O$27,6,FALSE())</f>
        <v>One Group cost breakdown structure and set of analytic plans, used identically in budget, PO, bill, progress billing and reports. Owned by Finance with change control.</v>
      </c>
      <c r="F10" s="24" t="s">
        <v>413</v>
      </c>
      <c r="G10" s="24" t="s">
        <v>414</v>
      </c>
      <c r="H10" s="24" t="s">
        <v>415</v>
      </c>
      <c r="I10" s="24" t="str">
        <f aca="false">VLOOKUP(A10,'Re-engineering Map'!$A$5:$O$27,14,FALSE())&amp;" → "&amp;VLOOKUP(A10,'Re-engineering Map'!$A$5:$O$27,15,FALSE())</f>
        <v>% of cost lines with a valid cost code → 100%</v>
      </c>
      <c r="J10" s="22" t="s">
        <v>416</v>
      </c>
      <c r="K10" s="23" t="s">
        <v>417</v>
      </c>
      <c r="L10" s="23" t="s">
        <v>418</v>
      </c>
      <c r="M10" s="23" t="s">
        <v>419</v>
      </c>
      <c r="N10" s="29" t="n">
        <f aca="false">LEN(J10)-LEN(SUBSTITUTE(J10,CHAR(10),""))+1</f>
        <v>5</v>
      </c>
      <c r="O10" s="29" t="n">
        <f aca="false">LEN(K10)-LEN(SUBSTITUTE(K10,CHAR(10),""))+1</f>
        <v>5</v>
      </c>
      <c r="P10" s="29" t="n">
        <f aca="false">(LEN(J10)-LEN(SUBSTITUTE(J10,"[Manual]","")))/8+(LEN(J10)-LEN(SUBSTITUTE(J10,"[Paper]","")))/7+(LEN(J10)-LEN(SUBSTITUTE(J10,"[Rekey]","")))/7+(LEN(J10)-LEN(SUBSTITUTE(J10,"[Wait]","")))/6</f>
        <v>5</v>
      </c>
      <c r="Q10" s="29" t="n">
        <f aca="false">(LEN(K10)-LEN(SUBSTITUTE(K10,"[Auto]","")))/6+(LEN(K10)-LEN(SUBSTITUTE(K10,"[Rule]","")))/6</f>
        <v>4</v>
      </c>
      <c r="R10" s="29" t="n">
        <f aca="false">(LEN(K10)-LEN(SUBSTITUTE(K10,"[Earlier]","")))/9+(LEN(K10)-LEN(SUBSTITUTE(K10,"[Parallel]","")))/10</f>
        <v>0</v>
      </c>
    </row>
    <row r="11" customFormat="false" ht="113.4" hidden="false" customHeight="false" outlineLevel="0" collapsed="false">
      <c r="A11" s="28" t="s">
        <v>156</v>
      </c>
      <c r="B11" s="28" t="str">
        <f aca="false">VLOOKUP(A11,'Re-engineering Map'!$A$5:$O$27,2,FALSE())</f>
        <v>Measure construction progress once, use it three times</v>
      </c>
      <c r="C11" s="22" t="str">
        <f aca="false">VLOOKUP(A11,'Re-engineering Map'!$A$5:$O$27,3,FALSE())</f>
        <v>06, 07, Finance</v>
      </c>
      <c r="D11" s="22" t="str">
        <f aca="false">VLOOKUP(A11,'Re-engineering Map'!$A$5:$O$27,4,FALSE())</f>
        <v>Contractor submits an accomplishment report, QS verifies, progress billing is processed, and unit construction status is updated separately.</v>
      </c>
      <c r="E11" s="23" t="str">
        <f aca="false">VLOOKUP(A11,'Re-engineering Map'!$A$5:$O$27,6,FALSE())</f>
        <v>One joint site verification per billing cycle, captured on mobile with geotagged photos and % per BOQ line. The verified % drives progress billing (with retention and recoupment), unit construction status, and the POC input for revenue.</v>
      </c>
      <c r="F11" s="24" t="s">
        <v>420</v>
      </c>
      <c r="G11" s="24" t="s">
        <v>421</v>
      </c>
      <c r="H11" s="24" t="s">
        <v>422</v>
      </c>
      <c r="I11" s="24" t="str">
        <f aca="false">VLOOKUP(A11,'Re-engineering Map'!$A$5:$O$27,14,FALSE())&amp;" → "&amp;VLOOKUP(A11,'Re-engineering Map'!$A$5:$O$27,15,FALSE())</f>
        <v>Days from cut-off to approved progress billing; billing disputes → ≤ 7 days</v>
      </c>
      <c r="J11" s="22" t="s">
        <v>423</v>
      </c>
      <c r="K11" s="23" t="s">
        <v>424</v>
      </c>
      <c r="L11" s="23" t="s">
        <v>425</v>
      </c>
      <c r="M11" s="23" t="s">
        <v>426</v>
      </c>
      <c r="N11" s="29" t="n">
        <f aca="false">LEN(J11)-LEN(SUBSTITUTE(J11,CHAR(10),""))+1</f>
        <v>6</v>
      </c>
      <c r="O11" s="29" t="n">
        <f aca="false">LEN(K11)-LEN(SUBSTITUTE(K11,CHAR(10),""))+1</f>
        <v>6</v>
      </c>
      <c r="P11" s="29" t="n">
        <f aca="false">(LEN(J11)-LEN(SUBSTITUTE(J11,"[Manual]","")))/8+(LEN(J11)-LEN(SUBSTITUTE(J11,"[Paper]","")))/7+(LEN(J11)-LEN(SUBSTITUTE(J11,"[Rekey]","")))/7+(LEN(J11)-LEN(SUBSTITUTE(J11,"[Wait]","")))/6</f>
        <v>6</v>
      </c>
      <c r="Q11" s="29" t="n">
        <f aca="false">(LEN(K11)-LEN(SUBSTITUTE(K11,"[Auto]","")))/6+(LEN(K11)-LEN(SUBSTITUTE(K11,"[Rule]","")))/6</f>
        <v>4</v>
      </c>
      <c r="R11" s="29" t="n">
        <f aca="false">(LEN(K11)-LEN(SUBSTITUTE(K11,"[Earlier]","")))/9+(LEN(K11)-LEN(SUBSTITUTE(K11,"[Parallel]","")))/10</f>
        <v>0</v>
      </c>
    </row>
    <row r="12" customFormat="false" ht="102.2" hidden="false" customHeight="false" outlineLevel="0" collapsed="false">
      <c r="A12" s="28" t="s">
        <v>168</v>
      </c>
      <c r="B12" s="28" t="str">
        <f aca="false">VLOOKUP(A12,'Re-engineering Map'!$A$5:$O$27,2,FALSE())</f>
        <v>Pricing governance and a single price source</v>
      </c>
      <c r="C12" s="22" t="str">
        <f aca="false">VLOOKUP(A12,'Re-engineering Map'!$A$5:$O$27,3,FALSE())</f>
        <v>07</v>
      </c>
      <c r="D12" s="22" t="str">
        <f aca="false">VLOOKUP(A12,'Re-engineering Map'!$A$5:$O$27,4,FALSE())</f>
        <v>Price lists maintained per project; discounts approved case by case.</v>
      </c>
      <c r="E12" s="23" t="str">
        <f aca="false">VLOOKUP(A12,'Re-engineering Map'!$A$5:$O$27,6,FALSE())</f>
        <v>Price floor per lot, a discount matrix by authority level, and scheduled price escalations per phase approved by ManCom. Live availability and prices published to brokers only through the portal.</v>
      </c>
      <c r="F12" s="24" t="s">
        <v>427</v>
      </c>
      <c r="G12" s="24" t="s">
        <v>428</v>
      </c>
      <c r="H12" s="24" t="s">
        <v>429</v>
      </c>
      <c r="I12" s="24" t="str">
        <f aca="false">VLOOKUP(A12,'Re-engineering Map'!$A$5:$O$27,14,FALSE())&amp;" → "&amp;VLOOKUP(A12,'Re-engineering Map'!$A$5:$O$27,15,FALSE())</f>
        <v>Average discount vs list; % of sales with exception discounts → Exception discounts &lt; 5% of sales</v>
      </c>
      <c r="J12" s="22" t="s">
        <v>430</v>
      </c>
      <c r="K12" s="23" t="s">
        <v>431</v>
      </c>
      <c r="L12" s="23" t="s">
        <v>432</v>
      </c>
      <c r="M12" s="23" t="s">
        <v>433</v>
      </c>
      <c r="N12" s="29" t="n">
        <f aca="false">LEN(J12)-LEN(SUBSTITUTE(J12,CHAR(10),""))+1</f>
        <v>5</v>
      </c>
      <c r="O12" s="29" t="n">
        <f aca="false">LEN(K12)-LEN(SUBSTITUTE(K12,CHAR(10),""))+1</f>
        <v>6</v>
      </c>
      <c r="P12" s="29" t="n">
        <f aca="false">(LEN(J12)-LEN(SUBSTITUTE(J12,"[Manual]","")))/8+(LEN(J12)-LEN(SUBSTITUTE(J12,"[Paper]","")))/7+(LEN(J12)-LEN(SUBSTITUTE(J12,"[Rekey]","")))/7+(LEN(J12)-LEN(SUBSTITUTE(J12,"[Wait]","")))/6</f>
        <v>5</v>
      </c>
      <c r="Q12" s="29" t="n">
        <f aca="false">(LEN(K12)-LEN(SUBSTITUTE(K12,"[Auto]","")))/6+(LEN(K12)-LEN(SUBSTITUTE(K12,"[Rule]","")))/6</f>
        <v>5</v>
      </c>
      <c r="R12" s="29" t="n">
        <f aca="false">(LEN(K12)-LEN(SUBSTITUTE(K12,"[Earlier]","")))/9+(LEN(K12)-LEN(SUBSTITUTE(K12,"[Parallel]","")))/10</f>
        <v>0</v>
      </c>
    </row>
    <row r="13" customFormat="false" ht="102.2" hidden="false" customHeight="false" outlineLevel="0" collapsed="false">
      <c r="A13" s="28" t="s">
        <v>180</v>
      </c>
      <c r="B13" s="28" t="str">
        <f aca="false">VLOOKUP(A13,'Re-engineering Map'!$A$5:$O$27,2,FALSE())</f>
        <v>Digital deal jacket from reservation to CTS</v>
      </c>
      <c r="C13" s="22" t="str">
        <f aca="false">VLOOKUP(A13,'Re-engineering Map'!$A$5:$O$27,3,FALSE())</f>
        <v>09</v>
      </c>
      <c r="D13" s="22" t="str">
        <f aca="false">VLOOKUP(A13,'Re-engineering Map'!$A$5:$O$27,4,FALSE())</f>
        <v>Reservation, then document collection, credit check, CTS drafting and notarization in sequence, mostly on paper.</v>
      </c>
      <c r="E13" s="23" t="str">
        <f aca="false">VLOOKUP(A13,'Re-engineering Map'!$A$5:$O$27,6,FALSE())</f>
        <v>Buyer uploads KYC and financing documents at reservation (portal with OCR). Completeness checklist per financing scheme. CTS generated from the confirmed sales order with no retyping. Weekly notarization batches. SLA dashboard from reservation to notarized CTS.</v>
      </c>
      <c r="F13" s="24" t="s">
        <v>434</v>
      </c>
      <c r="G13" s="24" t="s">
        <v>435</v>
      </c>
      <c r="H13" s="24" t="s">
        <v>436</v>
      </c>
      <c r="I13" s="24" t="str">
        <f aca="false">VLOOKUP(A13,'Re-engineering Map'!$A$5:$O$27,14,FALSE())&amp;" → "&amp;VLOOKUP(A13,'Re-engineering Map'!$A$5:$O$27,15,FALSE())</f>
        <v>Days from reservation to notarized CTS; % of documents complete at reservation → ≤ 30 days; ≥ 80%</v>
      </c>
      <c r="J13" s="22" t="s">
        <v>437</v>
      </c>
      <c r="K13" s="23" t="s">
        <v>438</v>
      </c>
      <c r="L13" s="23" t="s">
        <v>439</v>
      </c>
      <c r="M13" s="23" t="s">
        <v>440</v>
      </c>
      <c r="N13" s="29" t="n">
        <f aca="false">LEN(J13)-LEN(SUBSTITUTE(J13,CHAR(10),""))+1</f>
        <v>6</v>
      </c>
      <c r="O13" s="29" t="n">
        <f aca="false">LEN(K13)-LEN(SUBSTITUTE(K13,CHAR(10),""))+1</f>
        <v>7</v>
      </c>
      <c r="P13" s="29" t="n">
        <f aca="false">(LEN(J13)-LEN(SUBSTITUTE(J13,"[Manual]","")))/8+(LEN(J13)-LEN(SUBSTITUTE(J13,"[Paper]","")))/7+(LEN(J13)-LEN(SUBSTITUTE(J13,"[Rekey]","")))/7+(LEN(J13)-LEN(SUBSTITUTE(J13,"[Wait]","")))/6</f>
        <v>6</v>
      </c>
      <c r="Q13" s="29" t="n">
        <f aca="false">(LEN(K13)-LEN(SUBSTITUTE(K13,"[Auto]","")))/6+(LEN(K13)-LEN(SUBSTITUTE(K13,"[Rule]","")))/6</f>
        <v>3</v>
      </c>
      <c r="R13" s="29" t="n">
        <f aca="false">(LEN(K13)-LEN(SUBSTITUTE(K13,"[Earlier]","")))/9+(LEN(K13)-LEN(SUBSTITUTE(K13,"[Parallel]","")))/10</f>
        <v>1</v>
      </c>
    </row>
    <row r="14" customFormat="false" ht="91" hidden="false" customHeight="false" outlineLevel="0" collapsed="false">
      <c r="A14" s="28" t="s">
        <v>192</v>
      </c>
      <c r="B14" s="28" t="str">
        <f aca="false">VLOOKUP(A14,'Re-engineering Map'!$A$5:$O$27,2,FALSE())</f>
        <v>Electronic collections with automatic bank matching</v>
      </c>
      <c r="C14" s="22" t="str">
        <f aca="false">VLOOKUP(A14,'Re-engineering Map'!$A$5:$O$27,3,FALSE())</f>
        <v>11</v>
      </c>
      <c r="D14" s="22" t="str">
        <f aca="false">VLOOKUP(A14,'Re-engineering Map'!$A$5:$O$27,4,FALSE())</f>
        <v>Buyers pay at the cashier or by check/PDC. Cashier issues receipts. Posting and bank matching are manual.</v>
      </c>
      <c r="E14" s="23" t="str">
        <f aca="false">VLOOKUP(A14,'Re-engineering Map'!$A$5:$O$27,6,FALSE())</f>
        <v>Move buyers to electronic payment using per-buyer bank references (InstaPay, PESONet, bank over-the-counter). Daily bank file (CSV/MT940) auto-matched to the buyer ledger. Invoice issued on posting. Cashier handles exceptions only. No PDCs for new buyers.</v>
      </c>
      <c r="F14" s="24" t="s">
        <v>441</v>
      </c>
      <c r="G14" s="24" t="s">
        <v>442</v>
      </c>
      <c r="H14" s="24" t="s">
        <v>443</v>
      </c>
      <c r="I14" s="24" t="str">
        <f aca="false">VLOOKUP(A14,'Re-engineering Map'!$A$5:$O$27,14,FALSE())&amp;" → "&amp;VLOOKUP(A14,'Re-engineering Map'!$A$5:$O$27,15,FALSE())</f>
        <v>% of collections received electronically; posting lag → ≥ 70% within 12 months; ≤ 1 working day</v>
      </c>
      <c r="J14" s="22" t="s">
        <v>444</v>
      </c>
      <c r="K14" s="23" t="s">
        <v>445</v>
      </c>
      <c r="L14" s="23" t="s">
        <v>446</v>
      </c>
      <c r="M14" s="23" t="s">
        <v>447</v>
      </c>
      <c r="N14" s="29" t="n">
        <f aca="false">LEN(J14)-LEN(SUBSTITUTE(J14,CHAR(10),""))+1</f>
        <v>6</v>
      </c>
      <c r="O14" s="29" t="n">
        <f aca="false">LEN(K14)-LEN(SUBSTITUTE(K14,CHAR(10),""))+1</f>
        <v>6</v>
      </c>
      <c r="P14" s="29" t="n">
        <f aca="false">(LEN(J14)-LEN(SUBSTITUTE(J14,"[Manual]","")))/8+(LEN(J14)-LEN(SUBSTITUTE(J14,"[Paper]","")))/7+(LEN(J14)-LEN(SUBSTITUTE(J14,"[Rekey]","")))/7+(LEN(J14)-LEN(SUBSTITUTE(J14,"[Wait]","")))/6</f>
        <v>6</v>
      </c>
      <c r="Q14" s="29" t="n">
        <f aca="false">(LEN(K14)-LEN(SUBSTITUTE(K14,"[Auto]","")))/6+(LEN(K14)-LEN(SUBSTITUTE(K14,"[Rule]","")))/6</f>
        <v>4</v>
      </c>
      <c r="R14" s="29" t="n">
        <f aca="false">(LEN(K14)-LEN(SUBSTITUTE(K14,"[Earlier]","")))/9+(LEN(K14)-LEN(SUBSTITUTE(K14,"[Parallel]","")))/10</f>
        <v>0</v>
      </c>
    </row>
    <row r="15" customFormat="false" ht="102.2" hidden="false" customHeight="false" outlineLevel="0" collapsed="false">
      <c r="A15" s="28" t="s">
        <v>204</v>
      </c>
      <c r="B15" s="28" t="str">
        <f aca="false">VLOOKUP(A15,'Re-engineering Map'!$A$5:$O$27,2,FALSE())</f>
        <v>Collections playbook by aging bucket</v>
      </c>
      <c r="C15" s="22" t="str">
        <f aca="false">VLOOKUP(A15,'Re-engineering Map'!$A$5:$O$27,3,FALSE())</f>
        <v>11, 12</v>
      </c>
      <c r="D15" s="22" t="str">
        <f aca="false">VLOOKUP(A15,'Re-engineering Map'!$A$5:$O$27,4,FALSE())</f>
        <v>Aging reports reviewed; demand letters prepared manually; cancellation when default persists.</v>
      </c>
      <c r="E15" s="23" t="str">
        <f aca="false">VLOOKUP(A15,'Re-engineering Map'!$A$5:$O$27,6,FALSE())</f>
        <v>Automated reminders before and after due date. Account officer assigned at 30 days past due. Restructuring offer before 60 days. Maceda notice clock started automatically when criteria are met.</v>
      </c>
      <c r="F15" s="24" t="s">
        <v>448</v>
      </c>
      <c r="G15" s="24" t="s">
        <v>449</v>
      </c>
      <c r="H15" s="24" t="s">
        <v>450</v>
      </c>
      <c r="I15" s="24" t="str">
        <f aca="false">VLOOKUP(A15,'Re-engineering Map'!$A$5:$O$27,14,FALSE())&amp;" → "&amp;VLOOKUP(A15,'Re-engineering Map'!$A$5:$O$27,15,FALSE())</f>
        <v>Accounts &gt; 60 days past due; cancellation rate → Set after baseline; e.g., −25% in year one</v>
      </c>
      <c r="J15" s="22" t="s">
        <v>451</v>
      </c>
      <c r="K15" s="23" t="s">
        <v>452</v>
      </c>
      <c r="L15" s="23" t="s">
        <v>453</v>
      </c>
      <c r="M15" s="23" t="s">
        <v>454</v>
      </c>
      <c r="N15" s="29" t="n">
        <f aca="false">LEN(J15)-LEN(SUBSTITUTE(J15,CHAR(10),""))+1</f>
        <v>5</v>
      </c>
      <c r="O15" s="29" t="n">
        <f aca="false">LEN(K15)-LEN(SUBSTITUTE(K15,CHAR(10),""))+1</f>
        <v>6</v>
      </c>
      <c r="P15" s="29" t="n">
        <f aca="false">(LEN(J15)-LEN(SUBSTITUTE(J15,"[Manual]","")))/8+(LEN(J15)-LEN(SUBSTITUTE(J15,"[Paper]","")))/7+(LEN(J15)-LEN(SUBSTITUTE(J15,"[Rekey]","")))/7+(LEN(J15)-LEN(SUBSTITUTE(J15,"[Wait]","")))/6</f>
        <v>5</v>
      </c>
      <c r="Q15" s="29" t="n">
        <f aca="false">(LEN(K15)-LEN(SUBSTITUTE(K15,"[Auto]","")))/6+(LEN(K15)-LEN(SUBSTITUTE(K15,"[Rule]","")))/6</f>
        <v>4</v>
      </c>
      <c r="R15" s="29" t="n">
        <f aca="false">(LEN(K15)-LEN(SUBSTITUTE(K15,"[Earlier]","")))/9+(LEN(K15)-LEN(SUBSTITUTE(K15,"[Parallel]","")))/10</f>
        <v>0</v>
      </c>
    </row>
    <row r="16" customFormat="false" ht="91" hidden="false" customHeight="false" outlineLevel="0" collapsed="false">
      <c r="A16" s="28" t="s">
        <v>216</v>
      </c>
      <c r="B16" s="28" t="str">
        <f aca="false">VLOOKUP(A16,'Re-engineering Map'!$A$5:$O$27,2,FALSE())</f>
        <v>Same-week cancellation and re-listing</v>
      </c>
      <c r="C16" s="22" t="str">
        <f aca="false">VLOOKUP(A16,'Re-engineering Map'!$A$5:$O$27,3,FALSE())</f>
        <v>12</v>
      </c>
      <c r="D16" s="22" t="str">
        <f aca="false">VLOOKUP(A16,'Re-engineering Map'!$A$5:$O$27,4,FALSE())</f>
        <v>Cancellation computed and approved manually; unit returned to inventory afterwards.</v>
      </c>
      <c r="E16" s="23" t="str">
        <f aca="false">VLOOKUP(A16,'Re-engineering Map'!$A$5:$O$27,6,FALSE())</f>
        <v>Workflow computes cash surrender value, deductions and commission clawback automatically. Unit re-priced and re-listed the day cancellation takes effect. Cancellation reason codes mandatory.</v>
      </c>
      <c r="F16" s="24" t="s">
        <v>455</v>
      </c>
      <c r="G16" s="24" t="s">
        <v>456</v>
      </c>
      <c r="H16" s="24" t="s">
        <v>457</v>
      </c>
      <c r="I16" s="24" t="str">
        <f aca="false">VLOOKUP(A16,'Re-engineering Map'!$A$5:$O$27,14,FALSE())&amp;" → "&amp;VLOOKUP(A16,'Re-engineering Map'!$A$5:$O$27,15,FALSE())</f>
        <v>Days from effective cancellation to re-listing → ≤ 5 working days</v>
      </c>
      <c r="J16" s="22" t="s">
        <v>458</v>
      </c>
      <c r="K16" s="23" t="s">
        <v>459</v>
      </c>
      <c r="L16" s="23" t="s">
        <v>460</v>
      </c>
      <c r="M16" s="23" t="s">
        <v>461</v>
      </c>
      <c r="N16" s="29" t="n">
        <f aca="false">LEN(J16)-LEN(SUBSTITUTE(J16,CHAR(10),""))+1</f>
        <v>7</v>
      </c>
      <c r="O16" s="29" t="n">
        <f aca="false">LEN(K16)-LEN(SUBSTITUTE(K16,CHAR(10),""))+1</f>
        <v>6</v>
      </c>
      <c r="P16" s="29" t="n">
        <f aca="false">(LEN(J16)-LEN(SUBSTITUTE(J16,"[Manual]","")))/8+(LEN(J16)-LEN(SUBSTITUTE(J16,"[Paper]","")))/7+(LEN(J16)-LEN(SUBSTITUTE(J16,"[Rekey]","")))/7+(LEN(J16)-LEN(SUBSTITUTE(J16,"[Wait]","")))/6</f>
        <v>7</v>
      </c>
      <c r="Q16" s="29" t="n">
        <f aca="false">(LEN(K16)-LEN(SUBSTITUTE(K16,"[Auto]","")))/6+(LEN(K16)-LEN(SUBSTITUTE(K16,"[Rule]","")))/6</f>
        <v>4</v>
      </c>
      <c r="R16" s="29" t="n">
        <f aca="false">(LEN(K16)-LEN(SUBSTITUTE(K16,"[Earlier]","")))/9+(LEN(K16)-LEN(SUBSTITUTE(K16,"[Parallel]","")))/10</f>
        <v>0</v>
      </c>
    </row>
    <row r="17" customFormat="false" ht="102.2" hidden="false" customHeight="false" outlineLevel="0" collapsed="false">
      <c r="A17" s="28" t="s">
        <v>229</v>
      </c>
      <c r="B17" s="28" t="str">
        <f aca="false">VLOOKUP(A17,'Re-engineering Map'!$A$5:$O$27,2,FALSE())</f>
        <v>Start loan takeout at reservation</v>
      </c>
      <c r="C17" s="22" t="str">
        <f aca="false">VLOOKUP(A17,'Re-engineering Map'!$A$5:$O$27,3,FALSE())</f>
        <v>13</v>
      </c>
      <c r="D17" s="22" t="str">
        <f aca="false">VLOOKUP(A17,'Re-engineering Map'!$A$5:$O$27,4,FALSE())</f>
        <v>Loan documents collected after equity is fully paid; takeout tracked by the Loans team.</v>
      </c>
      <c r="E17" s="23" t="str">
        <f aca="false">VLOOKUP(A17,'Re-engineering Map'!$A$5:$O$27,6,FALSE())</f>
        <v>Bank / Pag-IBIG pre-qualification at reservation. Loan document pack built during the equity period. Takeout pipeline with lender SLAs and a weekly review. DOAS and title annotation prepared in parallel with lender approval.</v>
      </c>
      <c r="F17" s="24" t="s">
        <v>462</v>
      </c>
      <c r="G17" s="24" t="s">
        <v>463</v>
      </c>
      <c r="H17" s="24" t="s">
        <v>464</v>
      </c>
      <c r="I17" s="24" t="str">
        <f aca="false">VLOOKUP(A17,'Re-engineering Map'!$A$5:$O$27,14,FALSE())&amp;" → "&amp;VLOOKUP(A17,'Re-engineering Map'!$A$5:$O$27,15,FALSE())</f>
        <v>Days from equity fully paid to loan release; takeout failure rate → ≤ 60 days</v>
      </c>
      <c r="J17" s="22" t="s">
        <v>465</v>
      </c>
      <c r="K17" s="23" t="s">
        <v>466</v>
      </c>
      <c r="L17" s="23" t="s">
        <v>467</v>
      </c>
      <c r="M17" s="23" t="s">
        <v>468</v>
      </c>
      <c r="N17" s="29" t="n">
        <f aca="false">LEN(J17)-LEN(SUBSTITUTE(J17,CHAR(10),""))+1</f>
        <v>8</v>
      </c>
      <c r="O17" s="29" t="n">
        <f aca="false">LEN(K17)-LEN(SUBSTITUTE(K17,CHAR(10),""))+1</f>
        <v>6</v>
      </c>
      <c r="P17" s="29" t="n">
        <f aca="false">(LEN(J17)-LEN(SUBSTITUTE(J17,"[Manual]","")))/8+(LEN(J17)-LEN(SUBSTITUTE(J17,"[Paper]","")))/7+(LEN(J17)-LEN(SUBSTITUTE(J17,"[Rekey]","")))/7+(LEN(J17)-LEN(SUBSTITUTE(J17,"[Wait]","")))/6</f>
        <v>7</v>
      </c>
      <c r="Q17" s="29" t="n">
        <f aca="false">(LEN(K17)-LEN(SUBSTITUTE(K17,"[Auto]","")))/6+(LEN(K17)-LEN(SUBSTITUTE(K17,"[Rule]","")))/6</f>
        <v>2</v>
      </c>
      <c r="R17" s="29" t="n">
        <f aca="false">(LEN(K17)-LEN(SUBSTITUTE(K17,"[Earlier]","")))/9+(LEN(K17)-LEN(SUBSTITUTE(K17,"[Parallel]","")))/10</f>
        <v>3</v>
      </c>
    </row>
    <row r="18" customFormat="false" ht="79.85" hidden="false" customHeight="false" outlineLevel="0" collapsed="false">
      <c r="A18" s="28" t="s">
        <v>241</v>
      </c>
      <c r="B18" s="28" t="str">
        <f aca="false">VLOOKUP(A18,'Re-engineering Map'!$A$5:$O$27,2,FALSE())</f>
        <v>Hands-off commission cycle</v>
      </c>
      <c r="C18" s="22" t="str">
        <f aca="false">VLOOKUP(A18,'Re-engineering Map'!$A$5:$O$27,3,FALSE())</f>
        <v>17</v>
      </c>
      <c r="D18" s="22" t="str">
        <f aca="false">VLOOKUP(A18,'Re-engineering Map'!$A$5:$O$27,4,FALSE())</f>
        <v>Commissions computed and released by tranche; brokers call for status.</v>
      </c>
      <c r="E18" s="23" t="str">
        <f aca="false">VLOOKUP(A18,'Re-engineering Map'!$A$5:$O$27,6,FALSE())</f>
        <v>Use the SOW commission engine fully: compute at CTS, release automatically when collection thresholds are hit, broker self-service statements, broker invoice upload before payout, and automatic clawback netting on cancellation.</v>
      </c>
      <c r="F18" s="24" t="s">
        <v>469</v>
      </c>
      <c r="G18" s="24" t="s">
        <v>470</v>
      </c>
      <c r="H18" s="24" t="s">
        <v>471</v>
      </c>
      <c r="I18" s="24" t="str">
        <f aca="false">VLOOKUP(A18,'Re-engineering Map'!$A$5:$O$27,14,FALSE())&amp;" → "&amp;VLOOKUP(A18,'Re-engineering Map'!$A$5:$O$27,15,FALSE())</f>
        <v>Days from release trigger to payout; disputes per month → ≤ 10 days</v>
      </c>
      <c r="J18" s="22" t="s">
        <v>472</v>
      </c>
      <c r="K18" s="23" t="s">
        <v>473</v>
      </c>
      <c r="L18" s="23" t="s">
        <v>474</v>
      </c>
      <c r="M18" s="23" t="s">
        <v>475</v>
      </c>
      <c r="N18" s="29" t="n">
        <f aca="false">LEN(J18)-LEN(SUBSTITUTE(J18,CHAR(10),""))+1</f>
        <v>5</v>
      </c>
      <c r="O18" s="29" t="n">
        <f aca="false">LEN(K18)-LEN(SUBSTITUTE(K18,CHAR(10),""))+1</f>
        <v>6</v>
      </c>
      <c r="P18" s="29" t="n">
        <f aca="false">(LEN(J18)-LEN(SUBSTITUTE(J18,"[Manual]","")))/8+(LEN(J18)-LEN(SUBSTITUTE(J18,"[Paper]","")))/7+(LEN(J18)-LEN(SUBSTITUTE(J18,"[Rekey]","")))/7+(LEN(J18)-LEN(SUBSTITUTE(J18,"[Wait]","")))/6</f>
        <v>5</v>
      </c>
      <c r="Q18" s="29" t="n">
        <f aca="false">(LEN(K18)-LEN(SUBSTITUTE(K18,"[Auto]","")))/6+(LEN(K18)-LEN(SUBSTITUTE(K18,"[Rule]","")))/6</f>
        <v>6</v>
      </c>
      <c r="R18" s="29" t="n">
        <f aca="false">(LEN(K18)-LEN(SUBSTITUTE(K18,"[Earlier]","")))/9+(LEN(K18)-LEN(SUBSTITUTE(K18,"[Parallel]","")))/10</f>
        <v>0</v>
      </c>
    </row>
    <row r="19" customFormat="false" ht="91" hidden="false" customHeight="false" outlineLevel="0" collapsed="false">
      <c r="A19" s="28" t="s">
        <v>253</v>
      </c>
      <c r="B19" s="28" t="str">
        <f aca="false">VLOOKUP(A19,'Re-engineering Map'!$A$5:$O$27,2,FALSE())</f>
        <v>No PO, no pay — with scheduled payment runs</v>
      </c>
      <c r="C19" s="22" t="str">
        <f aca="false">VLOOKUP(A19,'Re-engineering Map'!$A$5:$O$27,3,FALSE())</f>
        <v>03, 06, 16</v>
      </c>
      <c r="D19" s="22" t="str">
        <f aca="false">VLOOKUP(A19,'Re-engineering Map'!$A$5:$O$27,4,FALSE())</f>
        <v>Requests, POs and bills processed with manual matching; payments released as prepared.</v>
      </c>
      <c r="E19" s="23" t="str">
        <f aca="false">VLOOKUP(A19,'Re-engineering Map'!$A$5:$O$27,6,FALSE())</f>
        <v>'No PO, no pay' policy with defined exemptions (utilities, government fees). Mandatory 3-way match (PO – receipt or accomplishment – bill). Two scheduled payment runs a week. BIR 2307 generated and emailed automatically.</v>
      </c>
      <c r="F19" s="24" t="s">
        <v>476</v>
      </c>
      <c r="G19" s="24" t="s">
        <v>477</v>
      </c>
      <c r="H19" s="24" t="s">
        <v>478</v>
      </c>
      <c r="I19" s="24" t="str">
        <f aca="false">VLOOKUP(A19,'Re-engineering Map'!$A$5:$O$27,14,FALSE())&amp;" → "&amp;VLOOKUP(A19,'Re-engineering Map'!$A$5:$O$27,15,FALSE())</f>
        <v>% of eligible spend on a PO; ad hoc payment runs per month → ≥ 95%; ≤ 2</v>
      </c>
      <c r="J19" s="22" t="s">
        <v>479</v>
      </c>
      <c r="K19" s="23" t="s">
        <v>480</v>
      </c>
      <c r="L19" s="23" t="s">
        <v>481</v>
      </c>
      <c r="M19" s="23" t="s">
        <v>482</v>
      </c>
      <c r="N19" s="29" t="n">
        <f aca="false">LEN(J19)-LEN(SUBSTITUTE(J19,CHAR(10),""))+1</f>
        <v>5</v>
      </c>
      <c r="O19" s="29" t="n">
        <f aca="false">LEN(K19)-LEN(SUBSTITUTE(K19,CHAR(10),""))+1</f>
        <v>6</v>
      </c>
      <c r="P19" s="29" t="n">
        <f aca="false">(LEN(J19)-LEN(SUBSTITUTE(J19,"[Manual]","")))/8+(LEN(J19)-LEN(SUBSTITUTE(J19,"[Paper]","")))/7+(LEN(J19)-LEN(SUBSTITUTE(J19,"[Rekey]","")))/7+(LEN(J19)-LEN(SUBSTITUTE(J19,"[Wait]","")))/6</f>
        <v>5</v>
      </c>
      <c r="Q19" s="29" t="n">
        <f aca="false">(LEN(K19)-LEN(SUBSTITUTE(K19,"[Auto]","")))/6+(LEN(K19)-LEN(SUBSTITUTE(K19,"[Rule]","")))/6</f>
        <v>4</v>
      </c>
      <c r="R19" s="29" t="n">
        <f aca="false">(LEN(K19)-LEN(SUBSTITUTE(K19,"[Earlier]","")))/9+(LEN(K19)-LEN(SUBSTITUTE(K19,"[Parallel]","")))/10</f>
        <v>0</v>
      </c>
    </row>
    <row r="20" customFormat="false" ht="79.85" hidden="false" customHeight="false" outlineLevel="0" collapsed="false">
      <c r="A20" s="28" t="s">
        <v>265</v>
      </c>
      <c r="B20" s="28" t="str">
        <f aca="false">VLOOKUP(A20,'Re-engineering Map'!$A$5:$O$27,2,FALSE())</f>
        <v>Independent vendor master with bank-change verification</v>
      </c>
      <c r="C20" s="22" t="str">
        <f aca="false">VLOOKUP(A20,'Re-engineering Map'!$A$5:$O$27,3,FALSE())</f>
        <v>16</v>
      </c>
      <c r="D20" s="22" t="str">
        <f aca="false">VLOOKUP(A20,'Re-engineering Map'!$A$5:$O$27,4,FALSE())</f>
        <v>Vendor records and bank details may be maintained by the same users who process payments (to be validated).</v>
      </c>
      <c r="E20" s="23" t="str">
        <f aca="false">VLOOKUP(A20,'Re-engineering Map'!$A$5:$O$27,6,FALSE())</f>
        <v>Central vendor master function. Accreditation through the supplier workflow. Bank-detail changes need a callback verification and a second approval. Duplicate TIN check.</v>
      </c>
      <c r="F20" s="24" t="s">
        <v>483</v>
      </c>
      <c r="G20" s="24" t="s">
        <v>484</v>
      </c>
      <c r="H20" s="24" t="s">
        <v>485</v>
      </c>
      <c r="I20" s="24" t="str">
        <f aca="false">VLOOKUP(A20,'Re-engineering Map'!$A$5:$O$27,14,FALSE())&amp;" → "&amp;VLOOKUP(A20,'Re-engineering Map'!$A$5:$O$27,15,FALSE())</f>
        <v>Bank-detail changes without verification; duplicate vendors → Zero</v>
      </c>
      <c r="J20" s="22" t="s">
        <v>486</v>
      </c>
      <c r="K20" s="23" t="s">
        <v>487</v>
      </c>
      <c r="L20" s="23" t="s">
        <v>488</v>
      </c>
      <c r="M20" s="23" t="s">
        <v>489</v>
      </c>
      <c r="N20" s="29" t="n">
        <f aca="false">LEN(J20)-LEN(SUBSTITUTE(J20,CHAR(10),""))+1</f>
        <v>4</v>
      </c>
      <c r="O20" s="29" t="n">
        <f aca="false">LEN(K20)-LEN(SUBSTITUTE(K20,CHAR(10),""))+1</f>
        <v>5</v>
      </c>
      <c r="P20" s="29" t="n">
        <f aca="false">(LEN(J20)-LEN(SUBSTITUTE(J20,"[Manual]","")))/8+(LEN(J20)-LEN(SUBSTITUTE(J20,"[Paper]","")))/7+(LEN(J20)-LEN(SUBSTITUTE(J20,"[Rekey]","")))/7+(LEN(J20)-LEN(SUBSTITUTE(J20,"[Wait]","")))/6</f>
        <v>3</v>
      </c>
      <c r="Q20" s="29" t="n">
        <f aca="false">(LEN(K20)-LEN(SUBSTITUTE(K20,"[Auto]","")))/6+(LEN(K20)-LEN(SUBSTITUTE(K20,"[Rule]","")))/6</f>
        <v>3</v>
      </c>
      <c r="R20" s="29" t="n">
        <f aca="false">(LEN(K20)-LEN(SUBSTITUTE(K20,"[Earlier]","")))/9+(LEN(K20)-LEN(SUBSTITUTE(K20,"[Parallel]","")))/10</f>
        <v>0</v>
      </c>
    </row>
    <row r="21" customFormat="false" ht="79.85" hidden="false" customHeight="false" outlineLevel="0" collapsed="false">
      <c r="A21" s="28" t="s">
        <v>277</v>
      </c>
      <c r="B21" s="28" t="str">
        <f aca="false">VLOOKUP(A21,'Re-engineering Map'!$A$5:$O$27,2,FALSE())</f>
        <v>TORC paid directly, recharged automatically</v>
      </c>
      <c r="C21" s="22" t="str">
        <f aca="false">VLOOKUP(A21,'Re-engineering Map'!$A$5:$O$27,3,FALSE())</f>
        <v>14</v>
      </c>
      <c r="D21" s="22" t="str">
        <f aca="false">VLOOKUP(A21,'Re-engineering Map'!$A$5:$O$27,4,FALSE())</f>
        <v>Taxes and other related charges paid through cash advances, then liquidated; recharge to the buyer handled separately.</v>
      </c>
      <c r="E21" s="23" t="str">
        <f aca="false">VLOOKUP(A21,'Re-engineering Map'!$A$5:$O$27,6,FALSE())</f>
        <v>Standard TORC computation per lot generated from deed values. Pay agencies directly through AP or e-payment channels where available instead of cash advances. Recharge posted to the buyer ledger automatically.</v>
      </c>
      <c r="F21" s="24" t="s">
        <v>490</v>
      </c>
      <c r="G21" s="24" t="s">
        <v>491</v>
      </c>
      <c r="H21" s="24" t="s">
        <v>492</v>
      </c>
      <c r="I21" s="24" t="str">
        <f aca="false">VLOOKUP(A21,'Re-engineering Map'!$A$5:$O$27,14,FALSE())&amp;" → "&amp;VLOOKUP(A21,'Re-engineering Map'!$A$5:$O$27,15,FALSE())</f>
        <v>Unliquidated advances &gt; 30 days; % of TORC recharged → Zero; 100%</v>
      </c>
      <c r="J21" s="22" t="s">
        <v>493</v>
      </c>
      <c r="K21" s="23" t="s">
        <v>494</v>
      </c>
      <c r="L21" s="23" t="s">
        <v>495</v>
      </c>
      <c r="M21" s="23" t="s">
        <v>496</v>
      </c>
      <c r="N21" s="29" t="n">
        <f aca="false">LEN(J21)-LEN(SUBSTITUTE(J21,CHAR(10),""))+1</f>
        <v>5</v>
      </c>
      <c r="O21" s="29" t="n">
        <f aca="false">LEN(K21)-LEN(SUBSTITUTE(K21,CHAR(10),""))+1</f>
        <v>5</v>
      </c>
      <c r="P21" s="29" t="n">
        <f aca="false">(LEN(J21)-LEN(SUBSTITUTE(J21,"[Manual]","")))/8+(LEN(J21)-LEN(SUBSTITUTE(J21,"[Paper]","")))/7+(LEN(J21)-LEN(SUBSTITUTE(J21,"[Rekey]","")))/7+(LEN(J21)-LEN(SUBSTITUTE(J21,"[Wait]","")))/6</f>
        <v>5</v>
      </c>
      <c r="Q21" s="29" t="n">
        <f aca="false">(LEN(K21)-LEN(SUBSTITUTE(K21,"[Auto]","")))/6+(LEN(K21)-LEN(SUBSTITUTE(K21,"[Rule]","")))/6</f>
        <v>4</v>
      </c>
      <c r="R21" s="29" t="n">
        <f aca="false">(LEN(K21)-LEN(SUBSTITUTE(K21,"[Earlier]","")))/9+(LEN(K21)-LEN(SUBSTITUTE(K21,"[Parallel]","")))/10</f>
        <v>0</v>
      </c>
    </row>
    <row r="22" customFormat="false" ht="79.85" hidden="false" customHeight="false" outlineLevel="0" collapsed="false">
      <c r="A22" s="28" t="s">
        <v>289</v>
      </c>
      <c r="B22" s="28" t="str">
        <f aca="false">VLOOKUP(A22,'Re-engineering Map'!$A$5:$O$27,2,FALSE())</f>
        <v>One handover pipeline from RFO to title</v>
      </c>
      <c r="C22" s="22" t="str">
        <f aca="false">VLOOKUP(A22,'Re-engineering Map'!$A$5:$O$27,3,FALSE())</f>
        <v>15, 19</v>
      </c>
      <c r="D22" s="22" t="str">
        <f aca="false">VLOOKUP(A22,'Re-engineering Map'!$A$5:$O$27,4,FALSE())</f>
        <v>Turnover and title processing handled by different teams with separate tracking.</v>
      </c>
      <c r="E22" s="23" t="str">
        <f aca="false">VLOOKUP(A22,'Re-engineering Map'!$A$5:$O$27,6,FALSE())</f>
        <v>One pipeline from ready-for-occupancy to title delivery with stage SLAs. Batch title processing per phase (bulk eCAR and RD submissions). Status visible to the buyer in the portal.</v>
      </c>
      <c r="F22" s="24" t="s">
        <v>497</v>
      </c>
      <c r="G22" s="24" t="s">
        <v>498</v>
      </c>
      <c r="H22" s="24" t="s">
        <v>499</v>
      </c>
      <c r="I22" s="24" t="str">
        <f aca="false">VLOOKUP(A22,'Re-engineering Map'!$A$5:$O$27,14,FALSE())&amp;" → "&amp;VLOOKUP(A22,'Re-engineering Map'!$A$5:$O$27,15,FALSE())</f>
        <v>Days from full payment to title delivery → Set after baseline</v>
      </c>
      <c r="J22" s="22" t="s">
        <v>500</v>
      </c>
      <c r="K22" s="23" t="s">
        <v>501</v>
      </c>
      <c r="L22" s="23" t="s">
        <v>502</v>
      </c>
      <c r="M22" s="23" t="s">
        <v>503</v>
      </c>
      <c r="N22" s="29" t="n">
        <f aca="false">LEN(J22)-LEN(SUBSTITUTE(J22,CHAR(10),""))+1</f>
        <v>5</v>
      </c>
      <c r="O22" s="29" t="n">
        <f aca="false">LEN(K22)-LEN(SUBSTITUTE(K22,CHAR(10),""))+1</f>
        <v>6</v>
      </c>
      <c r="P22" s="29" t="n">
        <f aca="false">(LEN(J22)-LEN(SUBSTITUTE(J22,"[Manual]","")))/8+(LEN(J22)-LEN(SUBSTITUTE(J22,"[Paper]","")))/7+(LEN(J22)-LEN(SUBSTITUTE(J22,"[Rekey]","")))/7+(LEN(J22)-LEN(SUBSTITUTE(J22,"[Wait]","")))/6</f>
        <v>5</v>
      </c>
      <c r="Q22" s="29" t="n">
        <f aca="false">(LEN(K22)-LEN(SUBSTITUTE(K22,"[Auto]","")))/6+(LEN(K22)-LEN(SUBSTITUTE(K22,"[Rule]","")))/6</f>
        <v>3</v>
      </c>
      <c r="R22" s="29" t="n">
        <f aca="false">(LEN(K22)-LEN(SUBSTITUTE(K22,"[Earlier]","")))/9+(LEN(K22)-LEN(SUBSTITUTE(K22,"[Parallel]","")))/10</f>
        <v>0</v>
      </c>
    </row>
    <row r="23" customFormat="false" ht="68.65" hidden="false" customHeight="false" outlineLevel="0" collapsed="false">
      <c r="A23" s="28" t="s">
        <v>301</v>
      </c>
      <c r="B23" s="28" t="str">
        <f aca="false">VLOOKUP(A23,'Re-engineering Map'!$A$5:$O$27,2,FALSE())</f>
        <v>Automated monthly revenue recognition</v>
      </c>
      <c r="C23" s="22" t="str">
        <f aca="false">VLOOKUP(A23,'Re-engineering Map'!$A$5:$O$27,3,FALSE())</f>
        <v>Finance</v>
      </c>
      <c r="D23" s="22" t="str">
        <f aca="false">VLOOKUP(A23,'Re-engineering Map'!$A$5:$O$27,4,FALSE())</f>
        <v>Percentage-of-completion revenue prepared in spreadsheets at period end (to be validated).</v>
      </c>
      <c r="E23" s="23" t="str">
        <f aca="false">VLOOKUP(A23,'Re-engineering Map'!$A$5:$O$27,6,FALSE())</f>
        <v>Compute POC revenue monthly from the single verified progress source (RE-07) and the collectability threshold, using a method agreed with the external auditor.</v>
      </c>
      <c r="F23" s="24" t="s">
        <v>504</v>
      </c>
      <c r="G23" s="24" t="s">
        <v>505</v>
      </c>
      <c r="H23" s="24" t="s">
        <v>506</v>
      </c>
      <c r="I23" s="24" t="str">
        <f aca="false">VLOOKUP(A23,'Re-engineering Map'!$A$5:$O$27,14,FALSE())&amp;" → "&amp;VLOOKUP(A23,'Re-engineering Map'!$A$5:$O$27,15,FALSE())</f>
        <v>Audit adjustments on revenue → No material adjustments</v>
      </c>
      <c r="J23" s="22" t="s">
        <v>507</v>
      </c>
      <c r="K23" s="23" t="s">
        <v>508</v>
      </c>
      <c r="L23" s="23" t="s">
        <v>509</v>
      </c>
      <c r="M23" s="23" t="s">
        <v>510</v>
      </c>
      <c r="N23" s="29" t="n">
        <f aca="false">LEN(J23)-LEN(SUBSTITUTE(J23,CHAR(10),""))+1</f>
        <v>5</v>
      </c>
      <c r="O23" s="29" t="n">
        <f aca="false">LEN(K23)-LEN(SUBSTITUTE(K23,CHAR(10),""))+1</f>
        <v>5</v>
      </c>
      <c r="P23" s="29" t="n">
        <f aca="false">(LEN(J23)-LEN(SUBSTITUTE(J23,"[Manual]","")))/8+(LEN(J23)-LEN(SUBSTITUTE(J23,"[Paper]","")))/7+(LEN(J23)-LEN(SUBSTITUTE(J23,"[Rekey]","")))/7+(LEN(J23)-LEN(SUBSTITUTE(J23,"[Wait]","")))/6</f>
        <v>5</v>
      </c>
      <c r="Q23" s="29" t="n">
        <f aca="false">(LEN(K23)-LEN(SUBSTITUTE(K23,"[Auto]","")))/6+(LEN(K23)-LEN(SUBSTITUTE(K23,"[Rule]","")))/6</f>
        <v>4</v>
      </c>
      <c r="R23" s="29" t="n">
        <f aca="false">(LEN(K23)-LEN(SUBSTITUTE(K23,"[Earlier]","")))/9+(LEN(K23)-LEN(SUBSTITUTE(K23,"[Parallel]","")))/10</f>
        <v>0</v>
      </c>
    </row>
    <row r="24" customFormat="false" ht="79.85" hidden="false" customHeight="false" outlineLevel="0" collapsed="false">
      <c r="A24" s="28" t="s">
        <v>314</v>
      </c>
      <c r="B24" s="28" t="str">
        <f aca="false">VLOOKUP(A24,'Re-engineering Map'!$A$5:$O$27,2,FALSE())</f>
        <v>Fast close and one management pack</v>
      </c>
      <c r="C24" s="22" t="str">
        <f aca="false">VLOOKUP(A24,'Re-engineering Map'!$A$5:$O$27,3,FALSE())</f>
        <v>X2</v>
      </c>
      <c r="D24" s="22" t="str">
        <f aca="false">VLOOKUP(A24,'Re-engineering Map'!$A$5:$O$27,4,FALSE())</f>
        <v>Month-end relies on manual consolidation across departments (as described in SOW §2).</v>
      </c>
      <c r="E24" s="23" t="str">
        <f aca="false">VLOOKUP(A24,'Re-engineering Map'!$A$5:$O$27,6,FALSE())</f>
        <v>Close calendar and checklist with named owners. Sub-ledgers post automatically. Intercompany transactions matched across Group entities. Standard management pack generated from Odoo. One KPI dictionary for all reports.</v>
      </c>
      <c r="F24" s="24" t="s">
        <v>511</v>
      </c>
      <c r="G24" s="24" t="s">
        <v>512</v>
      </c>
      <c r="H24" s="24" t="s">
        <v>513</v>
      </c>
      <c r="I24" s="24" t="str">
        <f aca="false">VLOOKUP(A24,'Re-engineering Map'!$A$5:$O$27,14,FALSE())&amp;" → "&amp;VLOOKUP(A24,'Re-engineering Map'!$A$5:$O$27,15,FALSE())</f>
        <v>Working days to close → ≤ 5 at go-live; ≤ 3 after hypercare</v>
      </c>
      <c r="J24" s="22" t="s">
        <v>514</v>
      </c>
      <c r="K24" s="23" t="s">
        <v>515</v>
      </c>
      <c r="L24" s="23" t="s">
        <v>516</v>
      </c>
      <c r="M24" s="23" t="s">
        <v>517</v>
      </c>
      <c r="N24" s="29" t="n">
        <f aca="false">LEN(J24)-LEN(SUBSTITUTE(J24,CHAR(10),""))+1</f>
        <v>5</v>
      </c>
      <c r="O24" s="29" t="n">
        <f aca="false">LEN(K24)-LEN(SUBSTITUTE(K24,CHAR(10),""))+1</f>
        <v>5</v>
      </c>
      <c r="P24" s="29" t="n">
        <f aca="false">(LEN(J24)-LEN(SUBSTITUTE(J24,"[Manual]","")))/8+(LEN(J24)-LEN(SUBSTITUTE(J24,"[Paper]","")))/7+(LEN(J24)-LEN(SUBSTITUTE(J24,"[Rekey]","")))/7+(LEN(J24)-LEN(SUBSTITUTE(J24,"[Wait]","")))/6</f>
        <v>5</v>
      </c>
      <c r="Q24" s="29" t="n">
        <f aca="false">(LEN(K24)-LEN(SUBSTITUTE(K24,"[Auto]","")))/6+(LEN(K24)-LEN(SUBSTITUTE(K24,"[Rule]","")))/6</f>
        <v>4</v>
      </c>
      <c r="R24" s="29" t="n">
        <f aca="false">(LEN(K24)-LEN(SUBSTITUTE(K24,"[Earlier]","")))/9+(LEN(K24)-LEN(SUBSTITUTE(K24,"[Parallel]","")))/10</f>
        <v>0</v>
      </c>
    </row>
    <row r="25" customFormat="false" ht="46.25" hidden="false" customHeight="false" outlineLevel="0" collapsed="false">
      <c r="A25" s="28" t="s">
        <v>328</v>
      </c>
      <c r="B25" s="28" t="str">
        <f aca="false">VLOOKUP(A25,'Re-engineering Map'!$A$5:$O$27,2,FALSE())</f>
        <v>Rolling 13-week cash forecast</v>
      </c>
      <c r="C25" s="22" t="str">
        <f aca="false">VLOOKUP(A25,'Re-engineering Map'!$A$5:$O$27,3,FALSE())</f>
        <v>X1, 02</v>
      </c>
      <c r="D25" s="22" t="str">
        <f aca="false">VLOOKUP(A25,'Re-engineering Map'!$A$5:$O$27,4,FALSE())</f>
        <v>Cash-flow projections prepared periodically.</v>
      </c>
      <c r="E25" s="23" t="str">
        <f aca="false">VLOOKUP(A25,'Re-engineering Map'!$A$5:$O$27,6,FALSE())</f>
        <v>Weekly 13-week cash forecast built from system schedules: buyer amortizations, takeout pipeline, AP due dates and loan service. Weekly Treasury review.</v>
      </c>
      <c r="F25" s="24" t="s">
        <v>518</v>
      </c>
      <c r="G25" s="24" t="s">
        <v>519</v>
      </c>
      <c r="H25" s="24" t="s">
        <v>520</v>
      </c>
      <c r="I25" s="24" t="str">
        <f aca="false">VLOOKUP(A25,'Re-engineering Map'!$A$5:$O$27,14,FALSE())&amp;" → "&amp;VLOOKUP(A25,'Re-engineering Map'!$A$5:$O$27,15,FALSE())</f>
        <v>Forecast accuracy at week +4 → Within ±10%</v>
      </c>
      <c r="J25" s="22" t="s">
        <v>521</v>
      </c>
      <c r="K25" s="23" t="s">
        <v>522</v>
      </c>
      <c r="L25" s="23" t="s">
        <v>523</v>
      </c>
      <c r="M25" s="23" t="s">
        <v>524</v>
      </c>
      <c r="N25" s="29" t="n">
        <f aca="false">LEN(J25)-LEN(SUBSTITUTE(J25,CHAR(10),""))+1</f>
        <v>3</v>
      </c>
      <c r="O25" s="29" t="n">
        <f aca="false">LEN(K25)-LEN(SUBSTITUTE(K25,CHAR(10),""))+1</f>
        <v>3</v>
      </c>
      <c r="P25" s="29" t="n">
        <f aca="false">(LEN(J25)-LEN(SUBSTITUTE(J25,"[Manual]","")))/8+(LEN(J25)-LEN(SUBSTITUTE(J25,"[Paper]","")))/7+(LEN(J25)-LEN(SUBSTITUTE(J25,"[Rekey]","")))/7+(LEN(J25)-LEN(SUBSTITUTE(J25,"[Wait]","")))/6</f>
        <v>3</v>
      </c>
      <c r="Q25" s="29" t="n">
        <f aca="false">(LEN(K25)-LEN(SUBSTITUTE(K25,"[Auto]","")))/6+(LEN(K25)-LEN(SUBSTITUTE(K25,"[Rule]","")))/6</f>
        <v>2</v>
      </c>
      <c r="R25" s="29" t="n">
        <f aca="false">(LEN(K25)-LEN(SUBSTITUTE(K25,"[Earlier]","")))/9+(LEN(K25)-LEN(SUBSTITUTE(K25,"[Parallel]","")))/10</f>
        <v>0</v>
      </c>
    </row>
    <row r="26" customFormat="false" ht="68.65" hidden="false" customHeight="false" outlineLevel="0" collapsed="false">
      <c r="A26" s="28" t="s">
        <v>341</v>
      </c>
      <c r="B26" s="28" t="str">
        <f aca="false">VLOOKUP(A26,'Re-engineering Map'!$A$5:$O$27,2,FALSE())</f>
        <v>Data ownership and clean-up before migration</v>
      </c>
      <c r="C26" s="22" t="str">
        <f aca="false">VLOOKUP(A26,'Re-engineering Map'!$A$5:$O$27,3,FALSE())</f>
        <v>All</v>
      </c>
      <c r="D26" s="22" t="str">
        <f aca="false">VLOOKUP(A26,'Re-engineering Map'!$A$5:$O$27,4,FALSE())</f>
        <v>Data is owned by whoever enters it; legacy data in In4 Velocity varies in quality.</v>
      </c>
      <c r="E26" s="23" t="str">
        <f aca="false">VLOOKUP(A26,'Re-engineering Map'!$A$5:$O$27,6,FALSE())</f>
        <v>Named data owners for the Lot, buyer, vendor and cost-code masters. Monthly data-quality scorecard. Start cleansing legacy data now: duplicates, missing TINs, buyer-ledger reconciliation to GL.</v>
      </c>
      <c r="F26" s="24" t="s">
        <v>525</v>
      </c>
      <c r="G26" s="24" t="s">
        <v>526</v>
      </c>
      <c r="H26" s="24" t="s">
        <v>527</v>
      </c>
      <c r="I26" s="24" t="str">
        <f aca="false">VLOOKUP(A26,'Re-engineering Map'!$A$5:$O$27,14,FALSE())&amp;" → "&amp;VLOOKUP(A26,'Re-engineering Map'!$A$5:$O$27,15,FALSE())</f>
        <v>Error rate in mock migration loads → &lt; 2% by the final mock load</v>
      </c>
      <c r="J26" s="22" t="s">
        <v>528</v>
      </c>
      <c r="K26" s="23" t="s">
        <v>529</v>
      </c>
      <c r="L26" s="23" t="s">
        <v>530</v>
      </c>
      <c r="M26" s="23" t="s">
        <v>531</v>
      </c>
      <c r="N26" s="29" t="n">
        <f aca="false">LEN(J26)-LEN(SUBSTITUTE(J26,CHAR(10),""))+1</f>
        <v>4</v>
      </c>
      <c r="O26" s="29" t="n">
        <f aca="false">LEN(K26)-LEN(SUBSTITUTE(K26,CHAR(10),""))+1</f>
        <v>5</v>
      </c>
      <c r="P26" s="29" t="n">
        <f aca="false">(LEN(J26)-LEN(SUBSTITUTE(J26,"[Manual]","")))/8+(LEN(J26)-LEN(SUBSTITUTE(J26,"[Paper]","")))/7+(LEN(J26)-LEN(SUBSTITUTE(J26,"[Rekey]","")))/7+(LEN(J26)-LEN(SUBSTITUTE(J26,"[Wait]","")))/6</f>
        <v>4</v>
      </c>
      <c r="Q26" s="29" t="n">
        <f aca="false">(LEN(K26)-LEN(SUBSTITUTE(K26,"[Auto]","")))/6+(LEN(K26)-LEN(SUBSTITUTE(K26,"[Rule]","")))/6</f>
        <v>2</v>
      </c>
      <c r="R26" s="29" t="n">
        <f aca="false">(LEN(K26)-LEN(SUBSTITUTE(K26,"[Earlier]","")))/9+(LEN(K26)-LEN(SUBSTITUTE(K26,"[Parallel]","")))/10</f>
        <v>1</v>
      </c>
    </row>
    <row r="27" customFormat="false" ht="46.25" hidden="false" customHeight="false" outlineLevel="0" collapsed="false">
      <c r="A27" s="28" t="s">
        <v>352</v>
      </c>
      <c r="B27" s="28" t="str">
        <f aca="false">VLOOKUP(A27,'Re-engineering Map'!$A$5:$O$27,2,FALSE())</f>
        <v>Named process owners with KPIs</v>
      </c>
      <c r="C27" s="22" t="str">
        <f aca="false">VLOOKUP(A27,'Re-engineering Map'!$A$5:$O$27,3,FALSE())</f>
        <v>All</v>
      </c>
      <c r="D27" s="22" t="str">
        <f aca="false">VLOOKUP(A27,'Re-engineering Map'!$A$5:$O$27,4,FALSE())</f>
        <v>Processes are run by departments; performance is not measured per end-to-end process.</v>
      </c>
      <c r="E27" s="23" t="str">
        <f aca="false">VLOOKUP(A27,'Re-engineering Map'!$A$5:$O$27,6,FALSE())</f>
        <v>Every blueprint process has a named owner and 2–3 KPIs. Monthly process performance review. Improvement backlog kept in the blueprint web app.</v>
      </c>
      <c r="F27" s="24" t="s">
        <v>532</v>
      </c>
      <c r="G27" s="24" t="s">
        <v>533</v>
      </c>
      <c r="H27" s="24" t="s">
        <v>534</v>
      </c>
      <c r="I27" s="24" t="str">
        <f aca="false">VLOOKUP(A27,'Re-engineering Map'!$A$5:$O$27,14,FALSE())&amp;" → "&amp;VLOOKUP(A27,'Re-engineering Map'!$A$5:$O$27,15,FALSE())</f>
        <v>% of processes with an owner and a KPI baseline → 100% before BRD</v>
      </c>
      <c r="J27" s="22" t="s">
        <v>535</v>
      </c>
      <c r="K27" s="23" t="s">
        <v>536</v>
      </c>
      <c r="L27" s="23" t="s">
        <v>537</v>
      </c>
      <c r="M27" s="23" t="s">
        <v>538</v>
      </c>
      <c r="N27" s="29" t="n">
        <f aca="false">LEN(J27)-LEN(SUBSTITUTE(J27,CHAR(10),""))+1</f>
        <v>2</v>
      </c>
      <c r="O27" s="29" t="n">
        <f aca="false">LEN(K27)-LEN(SUBSTITUTE(K27,CHAR(10),""))+1</f>
        <v>4</v>
      </c>
      <c r="P27" s="29" t="n">
        <f aca="false">(LEN(J27)-LEN(SUBSTITUTE(J27,"[Manual]","")))/8+(LEN(J27)-LEN(SUBSTITUTE(J27,"[Paper]","")))/7+(LEN(J27)-LEN(SUBSTITUTE(J27,"[Rekey]","")))/7+(LEN(J27)-LEN(SUBSTITUTE(J27,"[Wait]","")))/6</f>
        <v>2</v>
      </c>
      <c r="Q27" s="29" t="n">
        <f aca="false">(LEN(K27)-LEN(SUBSTITUTE(K27,"[Auto]","")))/6+(LEN(K27)-LEN(SUBSTITUTE(K27,"[Rule]","")))/6</f>
        <v>1</v>
      </c>
      <c r="R27" s="29" t="n">
        <f aca="false">(LEN(K27)-LEN(SUBSTITUTE(K27,"[Earlier]","")))/9+(LEN(K27)-LEN(SUBSTITUTE(K27,"[Parallel]","")))/10</f>
        <v>0</v>
      </c>
    </row>
    <row r="28" customFormat="false" ht="15" hidden="false" customHeight="false" outlineLevel="0" collapsed="false">
      <c r="A28" s="30" t="s">
        <v>35</v>
      </c>
      <c r="N28" s="31" t="n">
        <f aca="false">SUM(N5:N27)</f>
        <v>125</v>
      </c>
      <c r="O28" s="31" t="n">
        <f aca="false">SUM(O5:O27)</f>
        <v>133</v>
      </c>
      <c r="P28" s="31" t="n">
        <f aca="false">SUM(P5:P27)</f>
        <v>120</v>
      </c>
      <c r="Q28" s="31" t="n">
        <f aca="false">SUM(Q5:Q27)</f>
        <v>82</v>
      </c>
      <c r="R28" s="31" t="n">
        <f aca="false">SUM(R5:R27)</f>
        <v>7</v>
      </c>
    </row>
    <row r="29" customFormat="false" ht="15" hidden="false" customHeight="false" outlineLevel="0" collapsed="false">
      <c r="A29" s="32" t="s">
        <v>539</v>
      </c>
    </row>
  </sheetData>
  <mergeCells count="1">
    <mergeCell ref="A2:R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30"/>
    <col collapsed="false" customWidth="true" hidden="false" outlineLevel="0" max="3" min="3" style="1" width="40"/>
    <col collapsed="false" customWidth="true" hidden="false" outlineLevel="0" max="4" min="4" style="1" width="24"/>
    <col collapsed="false" customWidth="true" hidden="false" outlineLevel="0" max="5" min="5" style="1" width="16"/>
    <col collapsed="false" customWidth="true" hidden="false" outlineLevel="0" max="6" min="6" style="1" width="12"/>
    <col collapsed="false" customWidth="true" hidden="false" outlineLevel="0" max="8" min="7" style="1" width="18"/>
    <col collapsed="false" customWidth="true" hidden="false" outlineLevel="0" max="9" min="9" style="1" width="12"/>
    <col collapsed="false" customWidth="true" hidden="false" outlineLevel="0" max="11" min="10" style="1" width="14"/>
  </cols>
  <sheetData>
    <row r="1" customFormat="false" ht="17.25" hidden="false" customHeight="true" outlineLevel="0" collapsed="false">
      <c r="A1" s="6" t="s">
        <v>540</v>
      </c>
    </row>
    <row r="2" customFormat="false" ht="15" hidden="false" customHeight="true" outlineLevel="0" collapsed="false">
      <c r="A2" s="7" t="s">
        <v>541</v>
      </c>
    </row>
    <row r="4" customFormat="false" ht="23.25" hidden="false" customHeight="true" outlineLevel="0" collapsed="false">
      <c r="A4" s="9" t="s">
        <v>62</v>
      </c>
      <c r="B4" s="9" t="s">
        <v>63</v>
      </c>
      <c r="C4" s="9" t="s">
        <v>73</v>
      </c>
      <c r="D4" s="9" t="s">
        <v>74</v>
      </c>
      <c r="E4" s="9" t="s">
        <v>542</v>
      </c>
      <c r="F4" s="9" t="s">
        <v>543</v>
      </c>
      <c r="G4" s="9" t="s">
        <v>544</v>
      </c>
      <c r="H4" s="9" t="s">
        <v>545</v>
      </c>
      <c r="I4" s="9" t="s">
        <v>546</v>
      </c>
      <c r="J4" s="9" t="s">
        <v>547</v>
      </c>
      <c r="K4" s="9" t="s">
        <v>548</v>
      </c>
    </row>
    <row r="5" customFormat="false" ht="23.25" hidden="false" customHeight="true" outlineLevel="0" collapsed="false">
      <c r="A5" s="13" t="s">
        <v>79</v>
      </c>
      <c r="B5" s="13" t="str">
        <f aca="false">VLOOKUP(A5,'Re-engineering Map'!$A$5:$B$27,2,FALSE())</f>
        <v>Driver-based budget with commitment control</v>
      </c>
      <c r="C5" s="13" t="s">
        <v>91</v>
      </c>
      <c r="D5" s="13" t="s">
        <v>92</v>
      </c>
      <c r="E5" s="25"/>
      <c r="F5" s="25"/>
      <c r="G5" s="25"/>
      <c r="H5" s="25"/>
      <c r="I5" s="25" t="s">
        <v>549</v>
      </c>
      <c r="J5" s="25"/>
      <c r="K5" s="25"/>
    </row>
    <row r="6" customFormat="false" ht="23.25" hidden="false" customHeight="true" outlineLevel="0" collapsed="false">
      <c r="A6" s="13" t="s">
        <v>93</v>
      </c>
      <c r="B6" s="13" t="str">
        <f aca="false">VLOOKUP(A6,'Re-engineering Map'!$A$5:$B$27,2,FALSE())</f>
        <v>One digital Delegation of Authority matrix</v>
      </c>
      <c r="C6" s="13" t="s">
        <v>104</v>
      </c>
      <c r="D6" s="13" t="s">
        <v>105</v>
      </c>
      <c r="E6" s="25"/>
      <c r="F6" s="25"/>
      <c r="G6" s="25"/>
      <c r="H6" s="25"/>
      <c r="I6" s="25" t="s">
        <v>549</v>
      </c>
      <c r="J6" s="25"/>
      <c r="K6" s="25"/>
    </row>
    <row r="7" customFormat="false" ht="23.25" hidden="false" customHeight="true" outlineLevel="0" collapsed="false">
      <c r="A7" s="13" t="s">
        <v>106</v>
      </c>
      <c r="B7" s="13" t="str">
        <f aca="false">VLOOKUP(A7,'Re-engineering Map'!$A$5:$B$27,2,FALSE())</f>
        <v>Two-stage land due diligence with deal scorecard</v>
      </c>
      <c r="C7" s="13" t="s">
        <v>116</v>
      </c>
      <c r="D7" s="13" t="s">
        <v>117</v>
      </c>
      <c r="E7" s="25"/>
      <c r="F7" s="25"/>
      <c r="G7" s="25"/>
      <c r="H7" s="25"/>
      <c r="I7" s="25" t="s">
        <v>549</v>
      </c>
      <c r="J7" s="25"/>
      <c r="K7" s="25"/>
    </row>
    <row r="8" customFormat="false" ht="23.25" hidden="false" customHeight="true" outlineLevel="0" collapsed="false">
      <c r="A8" s="13" t="s">
        <v>118</v>
      </c>
      <c r="B8" s="13" t="str">
        <f aca="false">VLOOKUP(A8,'Re-engineering Map'!$A$5:$B$27,2,FALSE())</f>
        <v>Evidence-based land payments and filing calendar</v>
      </c>
      <c r="C8" s="13" t="s">
        <v>128</v>
      </c>
      <c r="D8" s="13" t="s">
        <v>129</v>
      </c>
      <c r="E8" s="25"/>
      <c r="F8" s="25"/>
      <c r="G8" s="25"/>
      <c r="H8" s="25"/>
      <c r="I8" s="25" t="s">
        <v>549</v>
      </c>
      <c r="J8" s="25"/>
      <c r="K8" s="25"/>
    </row>
    <row r="9" customFormat="false" ht="23.25" hidden="false" customHeight="true" outlineLevel="0" collapsed="false">
      <c r="A9" s="13" t="s">
        <v>130</v>
      </c>
      <c r="B9" s="13" t="str">
        <f aca="false">VLOOKUP(A9,'Re-engineering Map'!$A$5:$B$27,2,FALSE())</f>
        <v>Project templates and a hard License-to-Sell gate</v>
      </c>
      <c r="C9" s="13" t="s">
        <v>141</v>
      </c>
      <c r="D9" s="13" t="s">
        <v>142</v>
      </c>
      <c r="E9" s="25"/>
      <c r="F9" s="25"/>
      <c r="G9" s="25"/>
      <c r="H9" s="25"/>
      <c r="I9" s="25" t="s">
        <v>549</v>
      </c>
      <c r="J9" s="25"/>
      <c r="K9" s="25"/>
    </row>
    <row r="10" customFormat="false" ht="15" hidden="false" customHeight="true" outlineLevel="0" collapsed="false">
      <c r="A10" s="13" t="s">
        <v>143</v>
      </c>
      <c r="B10" s="13" t="str">
        <f aca="false">VLOOKUP(A10,'Re-engineering Map'!$A$5:$B$27,2,FALSE())</f>
        <v>One Group cost-code structure</v>
      </c>
      <c r="C10" s="13" t="s">
        <v>154</v>
      </c>
      <c r="D10" s="13" t="s">
        <v>155</v>
      </c>
      <c r="E10" s="25"/>
      <c r="F10" s="25"/>
      <c r="G10" s="25"/>
      <c r="H10" s="25"/>
      <c r="I10" s="25" t="s">
        <v>549</v>
      </c>
      <c r="J10" s="25"/>
      <c r="K10" s="25"/>
    </row>
    <row r="11" customFormat="false" ht="23.25" hidden="false" customHeight="true" outlineLevel="0" collapsed="false">
      <c r="A11" s="13" t="s">
        <v>156</v>
      </c>
      <c r="B11" s="13" t="str">
        <f aca="false">VLOOKUP(A11,'Re-engineering Map'!$A$5:$B$27,2,FALSE())</f>
        <v>Measure construction progress once, use it three times</v>
      </c>
      <c r="C11" s="13" t="s">
        <v>166</v>
      </c>
      <c r="D11" s="13" t="s">
        <v>167</v>
      </c>
      <c r="E11" s="25"/>
      <c r="F11" s="25"/>
      <c r="G11" s="25"/>
      <c r="H11" s="25"/>
      <c r="I11" s="25" t="s">
        <v>549</v>
      </c>
      <c r="J11" s="25"/>
      <c r="K11" s="25"/>
    </row>
    <row r="12" customFormat="false" ht="23.25" hidden="false" customHeight="true" outlineLevel="0" collapsed="false">
      <c r="A12" s="13" t="s">
        <v>168</v>
      </c>
      <c r="B12" s="13" t="str">
        <f aca="false">VLOOKUP(A12,'Re-engineering Map'!$A$5:$B$27,2,FALSE())</f>
        <v>Pricing governance and a single price source</v>
      </c>
      <c r="C12" s="13" t="s">
        <v>178</v>
      </c>
      <c r="D12" s="13" t="s">
        <v>179</v>
      </c>
      <c r="E12" s="25"/>
      <c r="F12" s="25"/>
      <c r="G12" s="25"/>
      <c r="H12" s="25"/>
      <c r="I12" s="25" t="s">
        <v>549</v>
      </c>
      <c r="J12" s="25"/>
      <c r="K12" s="25"/>
    </row>
    <row r="13" customFormat="false" ht="23.25" hidden="false" customHeight="true" outlineLevel="0" collapsed="false">
      <c r="A13" s="13" t="s">
        <v>180</v>
      </c>
      <c r="B13" s="13" t="str">
        <f aca="false">VLOOKUP(A13,'Re-engineering Map'!$A$5:$B$27,2,FALSE())</f>
        <v>Digital deal jacket from reservation to CTS</v>
      </c>
      <c r="C13" s="13" t="s">
        <v>190</v>
      </c>
      <c r="D13" s="13" t="s">
        <v>191</v>
      </c>
      <c r="E13" s="25"/>
      <c r="F13" s="25"/>
      <c r="G13" s="25"/>
      <c r="H13" s="25"/>
      <c r="I13" s="25" t="s">
        <v>549</v>
      </c>
      <c r="J13" s="25"/>
      <c r="K13" s="25"/>
    </row>
    <row r="14" customFormat="false" ht="23.25" hidden="false" customHeight="true" outlineLevel="0" collapsed="false">
      <c r="A14" s="13" t="s">
        <v>192</v>
      </c>
      <c r="B14" s="13" t="str">
        <f aca="false">VLOOKUP(A14,'Re-engineering Map'!$A$5:$B$27,2,FALSE())</f>
        <v>Electronic collections with automatic bank matching</v>
      </c>
      <c r="C14" s="13" t="s">
        <v>202</v>
      </c>
      <c r="D14" s="13" t="s">
        <v>203</v>
      </c>
      <c r="E14" s="25"/>
      <c r="F14" s="25"/>
      <c r="G14" s="25"/>
      <c r="H14" s="25"/>
      <c r="I14" s="25" t="s">
        <v>549</v>
      </c>
      <c r="J14" s="25"/>
      <c r="K14" s="25"/>
    </row>
    <row r="15" customFormat="false" ht="23.25" hidden="false" customHeight="true" outlineLevel="0" collapsed="false">
      <c r="A15" s="13" t="s">
        <v>204</v>
      </c>
      <c r="B15" s="13" t="str">
        <f aca="false">VLOOKUP(A15,'Re-engineering Map'!$A$5:$B$27,2,FALSE())</f>
        <v>Collections playbook by aging bucket</v>
      </c>
      <c r="C15" s="13" t="s">
        <v>214</v>
      </c>
      <c r="D15" s="13" t="s">
        <v>215</v>
      </c>
      <c r="E15" s="25"/>
      <c r="F15" s="25"/>
      <c r="G15" s="25"/>
      <c r="H15" s="25"/>
      <c r="I15" s="25" t="s">
        <v>549</v>
      </c>
      <c r="J15" s="25"/>
      <c r="K15" s="25"/>
    </row>
    <row r="16" customFormat="false" ht="23.25" hidden="false" customHeight="true" outlineLevel="0" collapsed="false">
      <c r="A16" s="13" t="s">
        <v>216</v>
      </c>
      <c r="B16" s="13" t="str">
        <f aca="false">VLOOKUP(A16,'Re-engineering Map'!$A$5:$B$27,2,FALSE())</f>
        <v>Same-week cancellation and re-listing</v>
      </c>
      <c r="C16" s="13" t="s">
        <v>227</v>
      </c>
      <c r="D16" s="13" t="s">
        <v>228</v>
      </c>
      <c r="E16" s="25"/>
      <c r="F16" s="25"/>
      <c r="G16" s="25"/>
      <c r="H16" s="25"/>
      <c r="I16" s="25" t="s">
        <v>549</v>
      </c>
      <c r="J16" s="25"/>
      <c r="K16" s="25"/>
    </row>
    <row r="17" customFormat="false" ht="23.25" hidden="false" customHeight="true" outlineLevel="0" collapsed="false">
      <c r="A17" s="13" t="s">
        <v>229</v>
      </c>
      <c r="B17" s="13" t="str">
        <f aca="false">VLOOKUP(A17,'Re-engineering Map'!$A$5:$B$27,2,FALSE())</f>
        <v>Start loan takeout at reservation</v>
      </c>
      <c r="C17" s="13" t="s">
        <v>239</v>
      </c>
      <c r="D17" s="13" t="s">
        <v>240</v>
      </c>
      <c r="E17" s="25"/>
      <c r="F17" s="25"/>
      <c r="G17" s="25"/>
      <c r="H17" s="25"/>
      <c r="I17" s="25" t="s">
        <v>549</v>
      </c>
      <c r="J17" s="25"/>
      <c r="K17" s="25"/>
    </row>
    <row r="18" customFormat="false" ht="23.25" hidden="false" customHeight="true" outlineLevel="0" collapsed="false">
      <c r="A18" s="13" t="s">
        <v>241</v>
      </c>
      <c r="B18" s="13" t="str">
        <f aca="false">VLOOKUP(A18,'Re-engineering Map'!$A$5:$B$27,2,FALSE())</f>
        <v>Hands-off commission cycle</v>
      </c>
      <c r="C18" s="13" t="s">
        <v>251</v>
      </c>
      <c r="D18" s="13" t="s">
        <v>252</v>
      </c>
      <c r="E18" s="25"/>
      <c r="F18" s="25"/>
      <c r="G18" s="25"/>
      <c r="H18" s="25"/>
      <c r="I18" s="25" t="s">
        <v>549</v>
      </c>
      <c r="J18" s="25"/>
      <c r="K18" s="25"/>
    </row>
    <row r="19" customFormat="false" ht="23.25" hidden="false" customHeight="true" outlineLevel="0" collapsed="false">
      <c r="A19" s="13" t="s">
        <v>253</v>
      </c>
      <c r="B19" s="13" t="str">
        <f aca="false">VLOOKUP(A19,'Re-engineering Map'!$A$5:$B$27,2,FALSE())</f>
        <v>No PO, no pay — with scheduled payment runs</v>
      </c>
      <c r="C19" s="13" t="s">
        <v>263</v>
      </c>
      <c r="D19" s="13" t="s">
        <v>264</v>
      </c>
      <c r="E19" s="25"/>
      <c r="F19" s="25"/>
      <c r="G19" s="25"/>
      <c r="H19" s="25"/>
      <c r="I19" s="25" t="s">
        <v>549</v>
      </c>
      <c r="J19" s="25"/>
      <c r="K19" s="25"/>
    </row>
    <row r="20" customFormat="false" ht="23.25" hidden="false" customHeight="true" outlineLevel="0" collapsed="false">
      <c r="A20" s="13" t="s">
        <v>265</v>
      </c>
      <c r="B20" s="13" t="str">
        <f aca="false">VLOOKUP(A20,'Re-engineering Map'!$A$5:$B$27,2,FALSE())</f>
        <v>Independent vendor master with bank-change verification</v>
      </c>
      <c r="C20" s="13" t="s">
        <v>275</v>
      </c>
      <c r="D20" s="13" t="s">
        <v>276</v>
      </c>
      <c r="E20" s="25"/>
      <c r="F20" s="25"/>
      <c r="G20" s="25"/>
      <c r="H20" s="25"/>
      <c r="I20" s="25" t="s">
        <v>549</v>
      </c>
      <c r="J20" s="25"/>
      <c r="K20" s="25"/>
    </row>
    <row r="21" customFormat="false" ht="23.25" hidden="false" customHeight="true" outlineLevel="0" collapsed="false">
      <c r="A21" s="13" t="s">
        <v>277</v>
      </c>
      <c r="B21" s="13" t="str">
        <f aca="false">VLOOKUP(A21,'Re-engineering Map'!$A$5:$B$27,2,FALSE())</f>
        <v>TORC paid directly, recharged automatically</v>
      </c>
      <c r="C21" s="13" t="s">
        <v>287</v>
      </c>
      <c r="D21" s="13" t="s">
        <v>288</v>
      </c>
      <c r="E21" s="25"/>
      <c r="F21" s="25"/>
      <c r="G21" s="25"/>
      <c r="H21" s="25"/>
      <c r="I21" s="25" t="s">
        <v>549</v>
      </c>
      <c r="J21" s="25"/>
      <c r="K21" s="25"/>
    </row>
    <row r="22" customFormat="false" ht="23.25" hidden="false" customHeight="true" outlineLevel="0" collapsed="false">
      <c r="A22" s="13" t="s">
        <v>289</v>
      </c>
      <c r="B22" s="13" t="str">
        <f aca="false">VLOOKUP(A22,'Re-engineering Map'!$A$5:$B$27,2,FALSE())</f>
        <v>One handover pipeline from RFO to title</v>
      </c>
      <c r="C22" s="13" t="s">
        <v>299</v>
      </c>
      <c r="D22" s="13" t="s">
        <v>300</v>
      </c>
      <c r="E22" s="25"/>
      <c r="F22" s="25"/>
      <c r="G22" s="25"/>
      <c r="H22" s="25"/>
      <c r="I22" s="25" t="s">
        <v>549</v>
      </c>
      <c r="J22" s="25"/>
      <c r="K22" s="25"/>
    </row>
    <row r="23" customFormat="false" ht="23.25" hidden="false" customHeight="true" outlineLevel="0" collapsed="false">
      <c r="A23" s="13" t="s">
        <v>301</v>
      </c>
      <c r="B23" s="13" t="str">
        <f aca="false">VLOOKUP(A23,'Re-engineering Map'!$A$5:$B$27,2,FALSE())</f>
        <v>Automated monthly revenue recognition</v>
      </c>
      <c r="C23" s="13" t="s">
        <v>312</v>
      </c>
      <c r="D23" s="13" t="s">
        <v>313</v>
      </c>
      <c r="E23" s="25"/>
      <c r="F23" s="25"/>
      <c r="G23" s="25"/>
      <c r="H23" s="25"/>
      <c r="I23" s="25" t="s">
        <v>549</v>
      </c>
      <c r="J23" s="25"/>
      <c r="K23" s="25"/>
    </row>
    <row r="24" customFormat="false" ht="23.25" hidden="false" customHeight="true" outlineLevel="0" collapsed="false">
      <c r="A24" s="13" t="s">
        <v>314</v>
      </c>
      <c r="B24" s="13" t="str">
        <f aca="false">VLOOKUP(A24,'Re-engineering Map'!$A$5:$B$27,2,FALSE())</f>
        <v>Fast close and one management pack</v>
      </c>
      <c r="C24" s="13" t="s">
        <v>326</v>
      </c>
      <c r="D24" s="13" t="s">
        <v>327</v>
      </c>
      <c r="E24" s="25"/>
      <c r="F24" s="25"/>
      <c r="G24" s="25"/>
      <c r="H24" s="25"/>
      <c r="I24" s="25" t="s">
        <v>549</v>
      </c>
      <c r="J24" s="25"/>
      <c r="K24" s="25"/>
    </row>
    <row r="25" customFormat="false" ht="15" hidden="false" customHeight="true" outlineLevel="0" collapsed="false">
      <c r="A25" s="13" t="s">
        <v>328</v>
      </c>
      <c r="B25" s="13" t="str">
        <f aca="false">VLOOKUP(A25,'Re-engineering Map'!$A$5:$B$27,2,FALSE())</f>
        <v>Rolling 13-week cash forecast</v>
      </c>
      <c r="C25" s="13" t="s">
        <v>339</v>
      </c>
      <c r="D25" s="13" t="s">
        <v>340</v>
      </c>
      <c r="E25" s="25"/>
      <c r="F25" s="25"/>
      <c r="G25" s="25"/>
      <c r="H25" s="25"/>
      <c r="I25" s="25" t="s">
        <v>549</v>
      </c>
      <c r="J25" s="25"/>
      <c r="K25" s="25"/>
    </row>
    <row r="26" customFormat="false" ht="23.25" hidden="false" customHeight="true" outlineLevel="0" collapsed="false">
      <c r="A26" s="13" t="s">
        <v>341</v>
      </c>
      <c r="B26" s="13" t="str">
        <f aca="false">VLOOKUP(A26,'Re-engineering Map'!$A$5:$B$27,2,FALSE())</f>
        <v>Data ownership and clean-up before migration</v>
      </c>
      <c r="C26" s="13" t="s">
        <v>350</v>
      </c>
      <c r="D26" s="13" t="s">
        <v>351</v>
      </c>
      <c r="E26" s="25"/>
      <c r="F26" s="25"/>
      <c r="G26" s="25"/>
      <c r="H26" s="25"/>
      <c r="I26" s="25" t="s">
        <v>549</v>
      </c>
      <c r="J26" s="25"/>
      <c r="K26" s="25"/>
    </row>
    <row r="27" customFormat="false" ht="23.25" hidden="false" customHeight="true" outlineLevel="0" collapsed="false">
      <c r="A27" s="13" t="s">
        <v>352</v>
      </c>
      <c r="B27" s="13" t="str">
        <f aca="false">VLOOKUP(A27,'Re-engineering Map'!$A$5:$B$27,2,FALSE())</f>
        <v>Named process owners with KPIs</v>
      </c>
      <c r="C27" s="13" t="s">
        <v>362</v>
      </c>
      <c r="D27" s="13" t="s">
        <v>363</v>
      </c>
      <c r="E27" s="25"/>
      <c r="F27" s="25"/>
      <c r="G27" s="25"/>
      <c r="H27" s="25"/>
      <c r="I27" s="25" t="s">
        <v>549</v>
      </c>
      <c r="J27" s="25"/>
      <c r="K27" s="25"/>
    </row>
  </sheetData>
  <dataValidations count="1">
    <dataValidation allowBlank="false" errorStyle="stop" operator="between" showDropDown="false" showErrorMessage="false" showInputMessage="false" sqref="I5:I27" type="list">
      <formula1>"Weekly,Monthly,Quarterly"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42"/>
    <col collapsed="false" customWidth="true" hidden="false" outlineLevel="0" max="3" min="3" style="1" width="8"/>
    <col collapsed="false" customWidth="true" hidden="false" outlineLevel="0" max="4" min="4" style="1" width="42"/>
    <col collapsed="false" customWidth="true" hidden="false" outlineLevel="0" max="5" min="5" style="1" width="8"/>
    <col collapsed="false" customWidth="true" hidden="false" outlineLevel="0" max="6" min="6" style="1" width="42"/>
  </cols>
  <sheetData>
    <row r="1" customFormat="false" ht="17.25" hidden="false" customHeight="true" outlineLevel="0" collapsed="false">
      <c r="A1" s="6" t="s">
        <v>550</v>
      </c>
    </row>
    <row r="2" customFormat="false" ht="15" hidden="false" customHeight="true" outlineLevel="0" collapsed="false">
      <c r="A2" s="7" t="s">
        <v>551</v>
      </c>
    </row>
    <row r="4" customFormat="false" ht="15" hidden="false" customHeight="true" outlineLevel="0" collapsed="false">
      <c r="A4" s="33" t="s">
        <v>32</v>
      </c>
      <c r="B4" s="33"/>
      <c r="C4" s="33" t="s">
        <v>33</v>
      </c>
      <c r="D4" s="33"/>
      <c r="E4" s="33" t="s">
        <v>34</v>
      </c>
      <c r="F4" s="33"/>
    </row>
    <row r="5" customFormat="false" ht="15" hidden="false" customHeight="true" outlineLevel="0" collapsed="false">
      <c r="A5" s="21" t="s">
        <v>79</v>
      </c>
      <c r="B5" s="13" t="s">
        <v>80</v>
      </c>
      <c r="C5" s="21" t="s">
        <v>118</v>
      </c>
      <c r="D5" s="13" t="s">
        <v>119</v>
      </c>
      <c r="E5" s="21" t="s">
        <v>328</v>
      </c>
      <c r="F5" s="13" t="s">
        <v>552</v>
      </c>
    </row>
    <row r="6" customFormat="false" ht="23.25" hidden="false" customHeight="true" outlineLevel="0" collapsed="false">
      <c r="A6" s="21" t="s">
        <v>93</v>
      </c>
      <c r="B6" s="13" t="s">
        <v>94</v>
      </c>
      <c r="C6" s="21" t="s">
        <v>156</v>
      </c>
      <c r="D6" s="13" t="s">
        <v>157</v>
      </c>
      <c r="E6" s="21" t="s">
        <v>352</v>
      </c>
      <c r="F6" s="13" t="s">
        <v>553</v>
      </c>
    </row>
    <row r="7" customFormat="false" ht="15" hidden="false" customHeight="true" outlineLevel="0" collapsed="false">
      <c r="A7" s="21" t="s">
        <v>106</v>
      </c>
      <c r="B7" s="13" t="s">
        <v>107</v>
      </c>
      <c r="C7" s="21" t="s">
        <v>180</v>
      </c>
      <c r="D7" s="13" t="s">
        <v>181</v>
      </c>
    </row>
    <row r="8" customFormat="false" ht="15" hidden="false" customHeight="true" outlineLevel="0" collapsed="false">
      <c r="A8" s="21" t="s">
        <v>130</v>
      </c>
      <c r="B8" s="13" t="s">
        <v>131</v>
      </c>
      <c r="C8" s="21" t="s">
        <v>216</v>
      </c>
      <c r="D8" s="13" t="s">
        <v>217</v>
      </c>
    </row>
    <row r="9" customFormat="false" ht="15" hidden="false" customHeight="true" outlineLevel="0" collapsed="false">
      <c r="A9" s="21" t="s">
        <v>143</v>
      </c>
      <c r="B9" s="13" t="s">
        <v>144</v>
      </c>
      <c r="C9" s="21" t="s">
        <v>241</v>
      </c>
      <c r="D9" s="13" t="s">
        <v>242</v>
      </c>
    </row>
    <row r="10" customFormat="false" ht="15" hidden="false" customHeight="true" outlineLevel="0" collapsed="false">
      <c r="A10" s="21" t="s">
        <v>168</v>
      </c>
      <c r="B10" s="13" t="s">
        <v>169</v>
      </c>
      <c r="C10" s="21" t="s">
        <v>289</v>
      </c>
      <c r="D10" s="13" t="s">
        <v>290</v>
      </c>
    </row>
    <row r="11" customFormat="false" ht="15" hidden="false" customHeight="true" outlineLevel="0" collapsed="false">
      <c r="A11" s="21" t="s">
        <v>192</v>
      </c>
      <c r="B11" s="13" t="s">
        <v>193</v>
      </c>
      <c r="C11" s="21" t="s">
        <v>301</v>
      </c>
      <c r="D11" s="13" t="s">
        <v>302</v>
      </c>
    </row>
    <row r="12" customFormat="false" ht="15" hidden="false" customHeight="true" outlineLevel="0" collapsed="false">
      <c r="A12" s="21" t="s">
        <v>204</v>
      </c>
      <c r="B12" s="13" t="s">
        <v>205</v>
      </c>
      <c r="C12" s="21" t="s">
        <v>328</v>
      </c>
      <c r="D12" s="13" t="s">
        <v>329</v>
      </c>
    </row>
    <row r="13" customFormat="false" ht="15" hidden="false" customHeight="true" outlineLevel="0" collapsed="false">
      <c r="A13" s="21" t="s">
        <v>229</v>
      </c>
      <c r="B13" s="13" t="s">
        <v>230</v>
      </c>
    </row>
    <row r="14" customFormat="false" ht="15" hidden="false" customHeight="true" outlineLevel="0" collapsed="false">
      <c r="A14" s="21" t="s">
        <v>253</v>
      </c>
      <c r="B14" s="13" t="s">
        <v>254</v>
      </c>
    </row>
    <row r="15" customFormat="false" ht="23.25" hidden="false" customHeight="true" outlineLevel="0" collapsed="false">
      <c r="A15" s="21" t="s">
        <v>265</v>
      </c>
      <c r="B15" s="13" t="s">
        <v>266</v>
      </c>
    </row>
    <row r="16" customFormat="false" ht="15" hidden="false" customHeight="true" outlineLevel="0" collapsed="false">
      <c r="A16" s="21" t="s">
        <v>277</v>
      </c>
      <c r="B16" s="13" t="s">
        <v>278</v>
      </c>
    </row>
    <row r="17" customFormat="false" ht="15" hidden="false" customHeight="true" outlineLevel="0" collapsed="false">
      <c r="A17" s="21" t="s">
        <v>314</v>
      </c>
      <c r="B17" s="13" t="s">
        <v>315</v>
      </c>
    </row>
    <row r="18" customFormat="false" ht="15" hidden="false" customHeight="true" outlineLevel="0" collapsed="false">
      <c r="A18" s="21" t="s">
        <v>341</v>
      </c>
      <c r="B18" s="13" t="s">
        <v>342</v>
      </c>
    </row>
    <row r="19" customFormat="false" ht="15" hidden="false" customHeight="true" outlineLevel="0" collapsed="false">
      <c r="A19" s="21" t="s">
        <v>352</v>
      </c>
      <c r="B19" s="13" t="s">
        <v>353</v>
      </c>
    </row>
    <row r="21" customFormat="false" ht="15" hidden="false" customHeight="true" outlineLevel="0" collapsed="false">
      <c r="A21" s="12" t="s">
        <v>554</v>
      </c>
    </row>
  </sheetData>
  <mergeCells count="3">
    <mergeCell ref="A4:B4"/>
    <mergeCell ref="C4:D4"/>
    <mergeCell ref="E4:F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2026-09-24T23:09:57Z</dcterms:created>
  <dc:creator>openpyxl</dc:creator>
  <dc:description/>
  <dc:language>en-US</dc:language>
  <cp:lastModifiedBy/>
  <dcterms:modified xsi:type="dcterms:W3CDTF">2026-09-24T23:18:53Z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