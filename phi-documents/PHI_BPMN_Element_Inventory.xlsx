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iagrams" sheetId="2" state="visible" r:id="rId4"/>
    <sheet name="Lanes" sheetId="3" state="visible" r:id="rId5"/>
    <sheet name="Flow Nodes" sheetId="4" state="visible" r:id="rId6"/>
    <sheet name="Sequence Flows" sheetId="5" state="visible" r:id="rId7"/>
    <sheet name="Message Flow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<sst xmlns="http://schemas.openxmlformats.org/spreadsheetml/2006/main" count="1549" uniqueCount="519">
  <si>
    <t xml:space="preserve">PHI BPMN 2.0 Element Inventory (Rev. B)</t>
  </si>
  <si>
    <t xml:space="preserve">Purpose</t>
  </si>
  <si>
    <t xml:space="preserve">Every lane, activity, event, gateway and flow in the seven BPMN diagrams, keyed to the element IDs inside the .bpmn files — use it to trace BRD requirements and Odoo configuration back to a diagram element.</t>
  </si>
  <si>
    <t xml:space="preserve">Files</t>
  </si>
  <si>
    <t xml:space="preserve">One .bpmn file per diagram (see Diagrams sheet). Open in Camunda Modeler, bpmn.io, Signavio, Bizagi or any BPMN 2.0 tool.</t>
  </si>
  <si>
    <t xml:space="preserve">ID convention</t>
  </si>
  <si>
    <t xml:space="preserve">D&lt;diagram&gt;_&lt;node&gt; for flow nodes, D&lt;diagram&gt;_Flow_n for sequence flows, D&lt;diagram&gt;_MsgFlow_n for message flows, D&lt;diagram&gt;_Lane_&lt;lane&gt; for lanes.</t>
  </si>
  <si>
    <t xml:space="preserve">Yellow cells</t>
  </si>
  <si>
    <t xml:space="preserve">Input columns: Odoo app / object, BRD requirement ID, notes — fill these during fit-gap sessions.</t>
  </si>
  <si>
    <t xml:space="preserve">Example input</t>
  </si>
  <si>
    <t xml:space="preserve">Element DC_c9 (task "Generate CTS and payment schedule", diagram C) → Odoo = "Sales order + Sign"; BRD ID = "BR-SAL-014".</t>
  </si>
  <si>
    <t xml:space="preserve">Diagram</t>
  </si>
  <si>
    <t xml:space="preserve">Title</t>
  </si>
  <si>
    <t xml:space="preserve">Covers processes</t>
  </si>
  <si>
    <t xml:space="preserve">BPMN file</t>
  </si>
  <si>
    <t xml:space="preserve">Lanes</t>
  </si>
  <si>
    <t xml:space="preserve">Tasks</t>
  </si>
  <si>
    <t xml:space="preserve">Gateways</t>
  </si>
  <si>
    <t xml:space="preserve">Events</t>
  </si>
  <si>
    <t xml:space="preserve">Sequence flows</t>
  </si>
  <si>
    <t xml:space="preserve">Message flows</t>
  </si>
  <si>
    <t xml:space="preserve">Description</t>
  </si>
  <si>
    <t xml:space="preserve">A</t>
  </si>
  <si>
    <t xml:space="preserve">Plan-to-budget</t>
  </si>
  <si>
    <t xml:space="preserve">01 Budget setup · X1 Forecasts</t>
  </si>
  <si>
    <t xml:space="preserve">PHI_A_plan-to-budget.bpmn</t>
  </si>
  <si>
    <t xml:space="preserve">Annual cycle that produces both the corporate budget and life-of-project budgets, and hands a locked baseline to Accounting so every PR, PO and bill is checked against it.</t>
  </si>
  <si>
    <t xml:space="preserve">B</t>
  </si>
  <si>
    <t xml:space="preserve">Land-to-inventory</t>
  </si>
  <si>
    <t xml:space="preserve">04 Land acquisition · 05 Project setup · 07 Inventory setup</t>
  </si>
  <si>
    <t xml:space="preserve">PHI_B_land-to-inventory.bpmn</t>
  </si>
  <si>
    <t xml:space="preserve">From a land opportunity to sellable lots: due diligence, agreement, milestone payments, title transfer, project creation, permits and License to Sell, then lot master and price-list creation.</t>
  </si>
  <si>
    <t xml:space="preserve">C</t>
  </si>
  <si>
    <t xml:space="preserve">Reserve-to-contract</t>
  </si>
  <si>
    <t xml:space="preserve">08 Channel accreditation · 09 Sales · 17 Commissions</t>
  </si>
  <si>
    <t xml:space="preserve">PHI_C_reserve-to-contract.bpmn</t>
  </si>
  <si>
    <t xml:space="preserve">A buyer picks a unit through an in-house or accredited broker; the reservation is receipted, documents and credit are checked, then the CTS and payment schedule are issued and the unit is tagged sold.</t>
  </si>
  <si>
    <t xml:space="preserve">D1</t>
  </si>
  <si>
    <t xml:space="preserve">Collect-to-cancel</t>
  </si>
  <si>
    <t xml:space="preserve">11 Accounts monitoring · 12 Cancellations</t>
  </si>
  <si>
    <t xml:space="preserve">PHI_D1_collect-to-cancel.bpmn</t>
  </si>
  <si>
    <t xml:space="preserve">Monthly billing and collection with an event-based gateway: either payment arrives, or the due date plus grace lapses and delinquency handling begins, ending in reinstatement or a Maceda-compliant cancellation that returns the unit to inventory.</t>
  </si>
  <si>
    <t xml:space="preserve">D2</t>
  </si>
  <si>
    <t xml:space="preserve">Equity-to-takeout</t>
  </si>
  <si>
    <t xml:space="preserve">13 Bank / Pag-IBIG takeout &amp; IHF</t>
  </si>
  <si>
    <t xml:space="preserve">PHI_D2_equity-to-takeout.bpmn</t>
  </si>
  <si>
    <t xml:space="preserve">Once equity is fully paid the account splits by financing scheme: external loan takeout with lender approval, title annotation and release of proceeds, or in-house financing with an interest-bearing amortization schedule.</t>
  </si>
  <si>
    <t xml:space="preserve">E</t>
  </si>
  <si>
    <t xml:space="preserve">Procure-to-pay</t>
  </si>
  <si>
    <t xml:space="preserve">03 Corporate expenses · 06 Project expenses · 14 TORC (taxes and other related charges) · 16 AP · 17 Commissions</t>
  </si>
  <si>
    <t xml:space="preserve">PHI_E_procure-to-pay.bpmn</t>
  </si>
  <si>
    <t xml:space="preserve">One pattern for every spend stream in the reference flow — corporate, land, project, sales, TORC, property management and loan payments — so budget checks, approvals, withholding tax and 2307s behave the same everywhere.</t>
  </si>
  <si>
    <t xml:space="preserve">F</t>
  </si>
  <si>
    <t xml:space="preserve">Turnover-to-title &amp; community</t>
  </si>
  <si>
    <t xml:space="preserve">15 Unit preparation &amp; delivery · 14 TORC · 19 Title delivery · 18 Property management</t>
  </si>
  <si>
    <t xml:space="preserve">PHI_F_turnover-to-title-community.bpmn</t>
  </si>
  <si>
    <t xml:space="preserve">A completed unit is inspected and turned over when the account is eligible; a parallel split then starts homeowner onboarding and the title-transfer track, which ends with the title delivered to the buyer or lender.</t>
  </si>
  <si>
    <t xml:space="preserve">BPMN ID</t>
  </si>
  <si>
    <t xml:space="preserve">Lane / participant</t>
  </si>
  <si>
    <t xml:space="preserve">Kind</t>
  </si>
  <si>
    <t xml:space="preserve">DA_Lane_mc</t>
  </si>
  <si>
    <t xml:space="preserve">ManCom / Executive</t>
  </si>
  <si>
    <t xml:space="preserve">Lane in PHI pool</t>
  </si>
  <si>
    <t xml:space="preserve">DA_Lane_fin</t>
  </si>
  <si>
    <t xml:space="preserve">Finance – budget &amp; FP&amp;A</t>
  </si>
  <si>
    <t xml:space="preserve">DA_Lane_dept</t>
  </si>
  <si>
    <t xml:space="preserve">Department heads</t>
  </si>
  <si>
    <t xml:space="preserve">DA_Lane_pdd</t>
  </si>
  <si>
    <t xml:space="preserve">Project Development</t>
  </si>
  <si>
    <t xml:space="preserve">DA_Lane_acc</t>
  </si>
  <si>
    <t xml:space="preserve">Accounting</t>
  </si>
  <si>
    <t xml:space="preserve">DB_Part_lo</t>
  </si>
  <si>
    <t xml:space="preserve">Landowner / seller</t>
  </si>
  <si>
    <t xml:space="preserve">External pool (collapsed)</t>
  </si>
  <si>
    <t xml:space="preserve">DB_Lane_bd</t>
  </si>
  <si>
    <t xml:space="preserve">Land acquisition / BD</t>
  </si>
  <si>
    <t xml:space="preserve">DB_Lane_mc</t>
  </si>
  <si>
    <t xml:space="preserve">ManCom</t>
  </si>
  <si>
    <t xml:space="preserve">DB_Lane_legal</t>
  </si>
  <si>
    <t xml:space="preserve">Legal &amp; titling</t>
  </si>
  <si>
    <t xml:space="preserve">DB_Lane_tre</t>
  </si>
  <si>
    <t xml:space="preserve">Treasury &amp; AP</t>
  </si>
  <si>
    <t xml:space="preserve">DB_Lane_pdd</t>
  </si>
  <si>
    <t xml:space="preserve">DB_Lane_sadm</t>
  </si>
  <si>
    <t xml:space="preserve">Sales admin</t>
  </si>
  <si>
    <t xml:space="preserve">DB_Part_gov</t>
  </si>
  <si>
    <t xml:space="preserve">BIR, RD, LGU, DHSUD</t>
  </si>
  <si>
    <t xml:space="preserve">DC_Part_buyer</t>
  </si>
  <si>
    <t xml:space="preserve">Buyer</t>
  </si>
  <si>
    <t xml:space="preserve">DC_Lane_sc</t>
  </si>
  <si>
    <t xml:space="preserve">Sales channel (in-house / broker)</t>
  </si>
  <si>
    <t xml:space="preserve">DC_Lane_sadm</t>
  </si>
  <si>
    <t xml:space="preserve">DC_Lane_cash</t>
  </si>
  <si>
    <t xml:space="preserve">Cashier &amp; accounting</t>
  </si>
  <si>
    <t xml:space="preserve">DC_Lane_cc</t>
  </si>
  <si>
    <t xml:space="preserve">Credit &amp; collection</t>
  </si>
  <si>
    <t xml:space="preserve">DC_Lane_docs</t>
  </si>
  <si>
    <t xml:space="preserve">Contracts &amp; documentation</t>
  </si>
  <si>
    <t xml:space="preserve">DD1_Lane_cc</t>
  </si>
  <si>
    <t xml:space="preserve">DD1_Lane_acc</t>
  </si>
  <si>
    <t xml:space="preserve">DD1_Lane_legal</t>
  </si>
  <si>
    <t xml:space="preserve">Legal</t>
  </si>
  <si>
    <t xml:space="preserve">DD1_Lane_mc</t>
  </si>
  <si>
    <t xml:space="preserve">Approvers (DOA)</t>
  </si>
  <si>
    <t xml:space="preserve">DD1_Lane_sadm</t>
  </si>
  <si>
    <t xml:space="preserve">Sales admin / inventory</t>
  </si>
  <si>
    <t xml:space="preserve">DD1_Part_buyer</t>
  </si>
  <si>
    <t xml:space="preserve">DD2_Part_buyer</t>
  </si>
  <si>
    <t xml:space="preserve">DD2_Lane_cc</t>
  </si>
  <si>
    <t xml:space="preserve">DD2_Lane_loans</t>
  </si>
  <si>
    <t xml:space="preserve">Loans &amp; financing</t>
  </si>
  <si>
    <t xml:space="preserve">DD2_Lane_acc</t>
  </si>
  <si>
    <t xml:space="preserve">DD2_Lane_tit</t>
  </si>
  <si>
    <t xml:space="preserve">Titling</t>
  </si>
  <si>
    <t xml:space="preserve">DD2_Part_bank</t>
  </si>
  <si>
    <t xml:space="preserve">Bank / Pag-IBIG</t>
  </si>
  <si>
    <t xml:space="preserve">DE_Part_sup</t>
  </si>
  <si>
    <t xml:space="preserve">Supplier / contractor / broker</t>
  </si>
  <si>
    <t xml:space="preserve">DE_Lane_req</t>
  </si>
  <si>
    <t xml:space="preserve">Requesting dept / project team</t>
  </si>
  <si>
    <t xml:space="preserve">DE_Lane_dao</t>
  </si>
  <si>
    <t xml:space="preserve">Finance &amp; approvers (DOA)</t>
  </si>
  <si>
    <t xml:space="preserve">DE_Lane_proc</t>
  </si>
  <si>
    <t xml:space="preserve">Procurement</t>
  </si>
  <si>
    <t xml:space="preserve">DE_Lane_qs</t>
  </si>
  <si>
    <t xml:space="preserve">Cost control / QS</t>
  </si>
  <si>
    <t xml:space="preserve">DE_Lane_ap</t>
  </si>
  <si>
    <t xml:space="preserve">Accounting – AP</t>
  </si>
  <si>
    <t xml:space="preserve">DE_Lane_tre</t>
  </si>
  <si>
    <t xml:space="preserve">Treasury</t>
  </si>
  <si>
    <t xml:space="preserve">DF_Part_buyer</t>
  </si>
  <si>
    <t xml:space="preserve">DF_Lane_con</t>
  </si>
  <si>
    <t xml:space="preserve">Construction &amp; QA</t>
  </si>
  <si>
    <t xml:space="preserve">DF_Lane_cc</t>
  </si>
  <si>
    <t xml:space="preserve">DF_Lane_cx</t>
  </si>
  <si>
    <t xml:space="preserve">Customer care / turnover</t>
  </si>
  <si>
    <t xml:space="preserve">DF_Lane_pm</t>
  </si>
  <si>
    <t xml:space="preserve">Property management</t>
  </si>
  <si>
    <t xml:space="preserve">DF_Lane_tit</t>
  </si>
  <si>
    <t xml:space="preserve">DF_Part_gov</t>
  </si>
  <si>
    <t xml:space="preserve">BIR, RD, assessor</t>
  </si>
  <si>
    <t xml:space="preserve">Name</t>
  </si>
  <si>
    <t xml:space="preserve">Type</t>
  </si>
  <si>
    <t xml:space="preserve">Lane</t>
  </si>
  <si>
    <t xml:space="preserve">Odoo app / object</t>
  </si>
  <si>
    <t xml:space="preserve">BRD requirement ID</t>
  </si>
  <si>
    <t xml:space="preserve">Notes</t>
  </si>
  <si>
    <t xml:space="preserve">DA_a1</t>
  </si>
  <si>
    <t xml:space="preserve">Annual budget cycle opens</t>
  </si>
  <si>
    <t xml:space="preserve">Timer start event</t>
  </si>
  <si>
    <t xml:space="preserve">DA_a2</t>
  </si>
  <si>
    <t xml:space="preserve">Issue budget calendar, templates and analytic structure</t>
  </si>
  <si>
    <t xml:space="preserve">Task</t>
  </si>
  <si>
    <t xml:space="preserve">DA_a3</t>
  </si>
  <si>
    <t xml:space="preserve">Parallel gateway</t>
  </si>
  <si>
    <t xml:space="preserve">DA_a4</t>
  </si>
  <si>
    <t xml:space="preserve">Prepare corporate and departmental budgets</t>
  </si>
  <si>
    <t xml:space="preserve">DA_a5</t>
  </si>
  <si>
    <t xml:space="preserve">Prepare project budgets by phase and cost code</t>
  </si>
  <si>
    <t xml:space="preserve">DA_a6</t>
  </si>
  <si>
    <t xml:space="preserve">DA_a7</t>
  </si>
  <si>
    <t xml:space="preserve">Consolidate; test against sales, collection and cash forecasts</t>
  </si>
  <si>
    <t xml:space="preserve">DA_a8</t>
  </si>
  <si>
    <t xml:space="preserve">Review budget and funding plan</t>
  </si>
  <si>
    <t xml:space="preserve">DA_a9</t>
  </si>
  <si>
    <t xml:space="preserve">Approved?</t>
  </si>
  <si>
    <t xml:space="preserve">Exclusive gateway</t>
  </si>
  <si>
    <t xml:space="preserve">DA_a10</t>
  </si>
  <si>
    <t xml:space="preserve">Load approved version; switch on budget checks</t>
  </si>
  <si>
    <t xml:space="preserve">DA_a11</t>
  </si>
  <si>
    <t xml:space="preserve">Budget baseline locked</t>
  </si>
  <si>
    <t xml:space="preserve">End event</t>
  </si>
  <si>
    <t xml:space="preserve">DB_b1</t>
  </si>
  <si>
    <t xml:space="preserve">Land opportunity logged</t>
  </si>
  <si>
    <t xml:space="preserve">Start event</t>
  </si>
  <si>
    <t xml:space="preserve">DB_b2</t>
  </si>
  <si>
    <t xml:space="preserve">Due diligence: title, survey, zoning, appraisal</t>
  </si>
  <si>
    <t xml:space="preserve">DB_b3</t>
  </si>
  <si>
    <t xml:space="preserve">Evaluate acquisition and feasibility</t>
  </si>
  <si>
    <t xml:space="preserve">DB_b4</t>
  </si>
  <si>
    <t xml:space="preserve">Approve?</t>
  </si>
  <si>
    <t xml:space="preserve">DB_b4n</t>
  </si>
  <si>
    <t xml:space="preserve">Declined</t>
  </si>
  <si>
    <t xml:space="preserve">DB_b5</t>
  </si>
  <si>
    <t xml:space="preserve">Negotiate and execute agreement (deed or JV)</t>
  </si>
  <si>
    <t xml:space="preserve">DB_b6</t>
  </si>
  <si>
    <t xml:space="preserve">Release milestone payments</t>
  </si>
  <si>
    <t xml:space="preserve">DB_b7</t>
  </si>
  <si>
    <t xml:space="preserve">Pay CGT, DST and transfer tax; file for transfer</t>
  </si>
  <si>
    <t xml:space="preserve">DB_b8</t>
  </si>
  <si>
    <t xml:space="preserve">New title issued</t>
  </si>
  <si>
    <t xml:space="preserve">Intermediate message catch event</t>
  </si>
  <si>
    <t xml:space="preserve">DB_b9</t>
  </si>
  <si>
    <t xml:space="preserve">Create project, phases, WBS and analytic account</t>
  </si>
  <si>
    <t xml:space="preserve">DB_b10</t>
  </si>
  <si>
    <t xml:space="preserve">Secure permits and License to Sell</t>
  </si>
  <si>
    <t xml:space="preserve">DB_b11</t>
  </si>
  <si>
    <t xml:space="preserve">Create lots (unit master), price list and financing options</t>
  </si>
  <si>
    <t xml:space="preserve">DB_b12</t>
  </si>
  <si>
    <t xml:space="preserve">Units open for sale</t>
  </si>
  <si>
    <t xml:space="preserve">DC_c1</t>
  </si>
  <si>
    <t xml:space="preserve">Buyer selects unit and scheme</t>
  </si>
  <si>
    <t xml:space="preserve">Message start event</t>
  </si>
  <si>
    <t xml:space="preserve">DC_c2</t>
  </si>
  <si>
    <t xml:space="preserve">Prepare sales computation (TCP, discounts, charges, terms)</t>
  </si>
  <si>
    <t xml:space="preserve">DC_c3</t>
  </si>
  <si>
    <t xml:space="preserve">Discount within authority?</t>
  </si>
  <si>
    <t xml:space="preserve">DC_c3n</t>
  </si>
  <si>
    <t xml:space="preserve">Approve special discount</t>
  </si>
  <si>
    <t xml:space="preserve">DC_c4</t>
  </si>
  <si>
    <t xml:space="preserve">Reservation fee received</t>
  </si>
  <si>
    <t xml:space="preserve">DC_c5</t>
  </si>
  <si>
    <t xml:space="preserve">Issue invoice / receipt; post reservation fee</t>
  </si>
  <si>
    <t xml:space="preserve">DC_c6</t>
  </si>
  <si>
    <t xml:space="preserve">Tag unit reserved; create buyer and co-borrower records</t>
  </si>
  <si>
    <t xml:space="preserve">DC_c7</t>
  </si>
  <si>
    <t xml:space="preserve">Check documents and credit per financing scheme</t>
  </si>
  <si>
    <t xml:space="preserve">DC_c8</t>
  </si>
  <si>
    <t xml:space="preserve">Complete and qualified?</t>
  </si>
  <si>
    <t xml:space="preserve">DC_c8n</t>
  </si>
  <si>
    <t xml:space="preserve">Follow up deficiencies before reservation expires</t>
  </si>
  <si>
    <t xml:space="preserve">DC_c9</t>
  </si>
  <si>
    <t xml:space="preserve">Generate CTS and payment schedule</t>
  </si>
  <si>
    <t xml:space="preserve">DC_c10</t>
  </si>
  <si>
    <t xml:space="preserve">Countersign and notarize CTS</t>
  </si>
  <si>
    <t xml:space="preserve">DC_c11</t>
  </si>
  <si>
    <t xml:space="preserve">Tag unit sold; accrue broker commission</t>
  </si>
  <si>
    <t xml:space="preserve">DC_c12</t>
  </si>
  <si>
    <t xml:space="preserve">Account handed to accounts monitoring</t>
  </si>
  <si>
    <t xml:space="preserve">DD1_d1</t>
  </si>
  <si>
    <t xml:space="preserve">Installment due per schedule</t>
  </si>
  <si>
    <t xml:space="preserve">DD1_d2</t>
  </si>
  <si>
    <t xml:space="preserve">Generate and send SOA</t>
  </si>
  <si>
    <t xml:space="preserve">DD1_d3</t>
  </si>
  <si>
    <t xml:space="preserve">Event-based gateway</t>
  </si>
  <si>
    <t xml:space="preserve">DD1_d4</t>
  </si>
  <si>
    <t xml:space="preserve">Payment received</t>
  </si>
  <si>
    <t xml:space="preserve">DD1_d5</t>
  </si>
  <si>
    <t xml:space="preserve">Issue invoice / receipt; allocate to principal, interest, penalties</t>
  </si>
  <si>
    <t xml:space="preserve">DD1_d6</t>
  </si>
  <si>
    <t xml:space="preserve">Account current</t>
  </si>
  <si>
    <t xml:space="preserve">DD1_d7</t>
  </si>
  <si>
    <t xml:space="preserve">Due date + grace lapsed</t>
  </si>
  <si>
    <t xml:space="preserve">Intermediate timer catch event</t>
  </si>
  <si>
    <t xml:space="preserve">DD1_d8</t>
  </si>
  <si>
    <t xml:space="preserve">Compute penalties; send demand letter</t>
  </si>
  <si>
    <t xml:space="preserve">DD1_d9</t>
  </si>
  <si>
    <t xml:space="preserve">Paid within grace period?</t>
  </si>
  <si>
    <t xml:space="preserve">DD1_d10</t>
  </si>
  <si>
    <t xml:space="preserve">Compute cash surrender value; serve notarial notice</t>
  </si>
  <si>
    <t xml:space="preserve">DD1_d11</t>
  </si>
  <si>
    <t xml:space="preserve">Approve cancellation and refund / forfeiture</t>
  </si>
  <si>
    <t xml:space="preserve">DD1_d12</t>
  </si>
  <si>
    <t xml:space="preserve">Reverse AR and revenue; claw back commission; refund via AP</t>
  </si>
  <si>
    <t xml:space="preserve">DD1_d13</t>
  </si>
  <si>
    <t xml:space="preserve">Return unit to inventory as available</t>
  </si>
  <si>
    <t xml:space="preserve">DD1_d14</t>
  </si>
  <si>
    <t xml:space="preserve">Unit re-listed</t>
  </si>
  <si>
    <t xml:space="preserve">DD2_e1</t>
  </si>
  <si>
    <t xml:space="preserve">Equity fully paid</t>
  </si>
  <si>
    <t xml:space="preserve">Conditional start event</t>
  </si>
  <si>
    <t xml:space="preserve">DD2_e2</t>
  </si>
  <si>
    <t xml:space="preserve">Financing scheme?</t>
  </si>
  <si>
    <t xml:space="preserve">DD2_e3</t>
  </si>
  <si>
    <t xml:space="preserve">Collect and check loan requirements</t>
  </si>
  <si>
    <t xml:space="preserve">DD2_e4</t>
  </si>
  <si>
    <t xml:space="preserve">Submit loan application</t>
  </si>
  <si>
    <t xml:space="preserve">DD2_e5</t>
  </si>
  <si>
    <t xml:space="preserve">Lender decision received</t>
  </si>
  <si>
    <t xml:space="preserve">DD2_e6</t>
  </si>
  <si>
    <t xml:space="preserve">Approved in full?</t>
  </si>
  <si>
    <t xml:space="preserve">DD2_e6n</t>
  </si>
  <si>
    <t xml:space="preserve">Buyer covers shortfall or re-routes to IHF, cash or cancellation</t>
  </si>
  <si>
    <t xml:space="preserve">DD2_e6e</t>
  </si>
  <si>
    <t xml:space="preserve">Re-routed per policy</t>
  </si>
  <si>
    <t xml:space="preserve">DD2_e7</t>
  </si>
  <si>
    <t xml:space="preserve">Execute DOAS; annotate mortgage on title</t>
  </si>
  <si>
    <t xml:space="preserve">DD2_e8</t>
  </si>
  <si>
    <t xml:space="preserve">Loan proceeds received</t>
  </si>
  <si>
    <t xml:space="preserve">DD2_e9</t>
  </si>
  <si>
    <t xml:space="preserve">Apply proceeds; close buyer balance</t>
  </si>
  <si>
    <t xml:space="preserve">DD2_e10</t>
  </si>
  <si>
    <t xml:space="preserve">Fully paid – ready for title</t>
  </si>
  <si>
    <t xml:space="preserve">DD2_e11</t>
  </si>
  <si>
    <t xml:space="preserve">Evaluate and approve IHF</t>
  </si>
  <si>
    <t xml:space="preserve">DD2_e12</t>
  </si>
  <si>
    <t xml:space="preserve">Set up IHF amortization with interest</t>
  </si>
  <si>
    <t xml:space="preserve">DD2_e13</t>
  </si>
  <si>
    <t xml:space="preserve">Handed to monthly collection</t>
  </si>
  <si>
    <t xml:space="preserve">DE_f1</t>
  </si>
  <si>
    <t xml:space="preserve">Spend need arises</t>
  </si>
  <si>
    <t xml:space="preserve">DE_f2</t>
  </si>
  <si>
    <t xml:space="preserve">Raise purchase or payment request with budget line</t>
  </si>
  <si>
    <t xml:space="preserve">DE_f3</t>
  </si>
  <si>
    <t xml:space="preserve">Budget available?</t>
  </si>
  <si>
    <t xml:space="preserve">DE_f3n</t>
  </si>
  <si>
    <t xml:space="preserve">Realign budget or get exception approval</t>
  </si>
  <si>
    <t xml:space="preserve">DE_f4</t>
  </si>
  <si>
    <t xml:space="preserve">Source and issue PO or contract</t>
  </si>
  <si>
    <t xml:space="preserve">DE_f5</t>
  </si>
  <si>
    <t xml:space="preserve">Delivered or accomplished</t>
  </si>
  <si>
    <t xml:space="preserve">DE_f6</t>
  </si>
  <si>
    <t xml:space="preserve">Verify receipt or % accomplishment; update progress</t>
  </si>
  <si>
    <t xml:space="preserve">DE_f7</t>
  </si>
  <si>
    <t xml:space="preserve">Vendor bill received</t>
  </si>
  <si>
    <t xml:space="preserve">DE_f8</t>
  </si>
  <si>
    <t xml:space="preserve">3-way match; compute VAT, EWT, retention</t>
  </si>
  <si>
    <t xml:space="preserve">DE_f9</t>
  </si>
  <si>
    <t xml:space="preserve">Approve per DOA matrix</t>
  </si>
  <si>
    <t xml:space="preserve">DE_f10</t>
  </si>
  <si>
    <t xml:space="preserve">Release payment; issue BIR 2307</t>
  </si>
  <si>
    <t xml:space="preserve">DE_f11</t>
  </si>
  <si>
    <t xml:space="preserve">Paid; actuals vs budget updated</t>
  </si>
  <si>
    <t xml:space="preserve">DF_g1</t>
  </si>
  <si>
    <t xml:space="preserve">Unit ready for occupancy</t>
  </si>
  <si>
    <t xml:space="preserve">DF_g2</t>
  </si>
  <si>
    <t xml:space="preserve">Internal QA and punch list</t>
  </si>
  <si>
    <t xml:space="preserve">DF_g3</t>
  </si>
  <si>
    <t xml:space="preserve">Turnover-eligible?</t>
  </si>
  <si>
    <t xml:space="preserve">DF_g3n</t>
  </si>
  <si>
    <t xml:space="preserve">Hold until eligible</t>
  </si>
  <si>
    <t xml:space="preserve">DF_g4</t>
  </si>
  <si>
    <t xml:space="preserve">Schedule turnover and joint inspection</t>
  </si>
  <si>
    <t xml:space="preserve">DF_g5</t>
  </si>
  <si>
    <t xml:space="preserve">Buyer accepts unit?</t>
  </si>
  <si>
    <t xml:space="preserve">DF_g5n</t>
  </si>
  <si>
    <t xml:space="preserve">Rectify defects</t>
  </si>
  <si>
    <t xml:space="preserve">DF_g6</t>
  </si>
  <si>
    <t xml:space="preserve">Sign acceptance; hand over keys; start warranty</t>
  </si>
  <si>
    <t xml:space="preserve">DF_g7</t>
  </si>
  <si>
    <t xml:space="preserve">DF_g8</t>
  </si>
  <si>
    <t xml:space="preserve">Onboard homeowner; start dues billing</t>
  </si>
  <si>
    <t xml:space="preserve">DF_g14</t>
  </si>
  <si>
    <t xml:space="preserve">Service requests, dues collection, PM expenses</t>
  </si>
  <si>
    <t xml:space="preserve">DF_g15</t>
  </si>
  <si>
    <t xml:space="preserve">Turn over to HOA when criteria are met</t>
  </si>
  <si>
    <t xml:space="preserve">DF_g16</t>
  </si>
  <si>
    <t xml:space="preserve">HOA turned over</t>
  </si>
  <si>
    <t xml:space="preserve">DF_g9</t>
  </si>
  <si>
    <t xml:space="preserve">Prepare DOAS; compute and fund TORC (taxes and other related charges)</t>
  </si>
  <si>
    <t xml:space="preserve">DF_g10</t>
  </si>
  <si>
    <t xml:space="preserve">Pay taxes and fees; process eCAR and transfer</t>
  </si>
  <si>
    <t xml:space="preserve">DF_g11</t>
  </si>
  <si>
    <t xml:space="preserve">New TCT / CCT issued</t>
  </si>
  <si>
    <t xml:space="preserve">DF_g12</t>
  </si>
  <si>
    <t xml:space="preserve">Deliver title to buyer or lender</t>
  </si>
  <si>
    <t xml:space="preserve">DF_g13</t>
  </si>
  <si>
    <t xml:space="preserve">Title delivered</t>
  </si>
  <si>
    <t xml:space="preserve">Source ID</t>
  </si>
  <si>
    <t xml:space="preserve">Source</t>
  </si>
  <si>
    <t xml:space="preserve">Target ID</t>
  </si>
  <si>
    <t xml:space="preserve">Target</t>
  </si>
  <si>
    <t xml:space="preserve">Condition / label</t>
  </si>
  <si>
    <t xml:space="preserve">DA_Flow_1</t>
  </si>
  <si>
    <t xml:space="preserve">DA_Flow_2</t>
  </si>
  <si>
    <t xml:space="preserve">DA_Flow_3</t>
  </si>
  <si>
    <t xml:space="preserve">DA_Flow_4</t>
  </si>
  <si>
    <t xml:space="preserve">DA_Flow_5</t>
  </si>
  <si>
    <t xml:space="preserve">DA_Flow_6</t>
  </si>
  <si>
    <t xml:space="preserve">DA_Flow_7</t>
  </si>
  <si>
    <t xml:space="preserve">DA_Flow_8</t>
  </si>
  <si>
    <t xml:space="preserve">DA_Flow_9</t>
  </si>
  <si>
    <t xml:space="preserve">DA_Flow_10</t>
  </si>
  <si>
    <t xml:space="preserve">Yes</t>
  </si>
  <si>
    <t xml:space="preserve">DA_Flow_11</t>
  </si>
  <si>
    <t xml:space="preserve">No – revise</t>
  </si>
  <si>
    <t xml:space="preserve">DA_Flow_12</t>
  </si>
  <si>
    <t xml:space="preserve">DB_Flow_1</t>
  </si>
  <si>
    <t xml:space="preserve">DB_Flow_2</t>
  </si>
  <si>
    <t xml:space="preserve">DB_Flow_3</t>
  </si>
  <si>
    <t xml:space="preserve">DB_Flow_4</t>
  </si>
  <si>
    <t xml:space="preserve">No</t>
  </si>
  <si>
    <t xml:space="preserve">DB_Flow_5</t>
  </si>
  <si>
    <t xml:space="preserve">DB_Flow_6</t>
  </si>
  <si>
    <t xml:space="preserve">DB_Flow_7</t>
  </si>
  <si>
    <t xml:space="preserve">DB_Flow_8</t>
  </si>
  <si>
    <t xml:space="preserve">DB_Flow_9</t>
  </si>
  <si>
    <t xml:space="preserve">DB_Flow_10</t>
  </si>
  <si>
    <t xml:space="preserve">DB_Flow_11</t>
  </si>
  <si>
    <t xml:space="preserve">DB_Flow_12</t>
  </si>
  <si>
    <t xml:space="preserve">DC_Flow_1</t>
  </si>
  <si>
    <t xml:space="preserve">DC_Flow_2</t>
  </si>
  <si>
    <t xml:space="preserve">DC_Flow_3</t>
  </si>
  <si>
    <t xml:space="preserve">DC_Flow_4</t>
  </si>
  <si>
    <t xml:space="preserve">DC_Flow_5</t>
  </si>
  <si>
    <t xml:space="preserve">DC_Flow_6</t>
  </si>
  <si>
    <t xml:space="preserve">DC_Flow_7</t>
  </si>
  <si>
    <t xml:space="preserve">DC_Flow_8</t>
  </si>
  <si>
    <t xml:space="preserve">DC_Flow_9</t>
  </si>
  <si>
    <t xml:space="preserve">DC_Flow_10</t>
  </si>
  <si>
    <t xml:space="preserve">DC_Flow_11</t>
  </si>
  <si>
    <t xml:space="preserve">DC_Flow_12</t>
  </si>
  <si>
    <t xml:space="preserve">DC_Flow_13</t>
  </si>
  <si>
    <t xml:space="preserve">DC_Flow_14</t>
  </si>
  <si>
    <t xml:space="preserve">DC_Flow_15</t>
  </si>
  <si>
    <t xml:space="preserve">DD1_Flow_1</t>
  </si>
  <si>
    <t xml:space="preserve">DD1_Flow_2</t>
  </si>
  <si>
    <t xml:space="preserve">DD1_Flow_3</t>
  </si>
  <si>
    <t xml:space="preserve">DD1_Flow_4</t>
  </si>
  <si>
    <t xml:space="preserve">DD1_Flow_5</t>
  </si>
  <si>
    <t xml:space="preserve">DD1_Flow_6</t>
  </si>
  <si>
    <t xml:space="preserve">DD1_Flow_7</t>
  </si>
  <si>
    <t xml:space="preserve">DD1_Flow_8</t>
  </si>
  <si>
    <t xml:space="preserve">DD1_Flow_9</t>
  </si>
  <si>
    <t xml:space="preserve">DD1_Flow_10</t>
  </si>
  <si>
    <t xml:space="preserve">DD1_Flow_11</t>
  </si>
  <si>
    <t xml:space="preserve">DD1_Flow_12</t>
  </si>
  <si>
    <t xml:space="preserve">DD1_Flow_13</t>
  </si>
  <si>
    <t xml:space="preserve">DD1_Flow_14</t>
  </si>
  <si>
    <t xml:space="preserve">DD2_Flow_1</t>
  </si>
  <si>
    <t xml:space="preserve">DD2_Flow_2</t>
  </si>
  <si>
    <t xml:space="preserve">DD2_Flow_3</t>
  </si>
  <si>
    <t xml:space="preserve">IHF</t>
  </si>
  <si>
    <t xml:space="preserve">DD2_Flow_4</t>
  </si>
  <si>
    <t xml:space="preserve">DD2_Flow_5</t>
  </si>
  <si>
    <t xml:space="preserve">DD2_Flow_6</t>
  </si>
  <si>
    <t xml:space="preserve">DD2_Flow_7</t>
  </si>
  <si>
    <t xml:space="preserve">DD2_Flow_8</t>
  </si>
  <si>
    <t xml:space="preserve">DD2_Flow_9</t>
  </si>
  <si>
    <t xml:space="preserve">DD2_Flow_10</t>
  </si>
  <si>
    <t xml:space="preserve">DD2_Flow_11</t>
  </si>
  <si>
    <t xml:space="preserve">DD2_Flow_12</t>
  </si>
  <si>
    <t xml:space="preserve">DD2_Flow_13</t>
  </si>
  <si>
    <t xml:space="preserve">DD2_Flow_14</t>
  </si>
  <si>
    <t xml:space="preserve">DE_Flow_1</t>
  </si>
  <si>
    <t xml:space="preserve">DE_Flow_2</t>
  </si>
  <si>
    <t xml:space="preserve">DE_Flow_3</t>
  </si>
  <si>
    <t xml:space="preserve">DE_Flow_4</t>
  </si>
  <si>
    <t xml:space="preserve">DE_Flow_5</t>
  </si>
  <si>
    <t xml:space="preserve">DE_Flow_6</t>
  </si>
  <si>
    <t xml:space="preserve">DE_Flow_7</t>
  </si>
  <si>
    <t xml:space="preserve">DE_Flow_8</t>
  </si>
  <si>
    <t xml:space="preserve">DE_Flow_9</t>
  </si>
  <si>
    <t xml:space="preserve">DE_Flow_10</t>
  </si>
  <si>
    <t xml:space="preserve">DE_Flow_11</t>
  </si>
  <si>
    <t xml:space="preserve">DE_Flow_12</t>
  </si>
  <si>
    <t xml:space="preserve">DF_Flow_1</t>
  </si>
  <si>
    <t xml:space="preserve">DF_Flow_2</t>
  </si>
  <si>
    <t xml:space="preserve">DF_Flow_3</t>
  </si>
  <si>
    <t xml:space="preserve">DF_Flow_4</t>
  </si>
  <si>
    <t xml:space="preserve">DF_Flow_5</t>
  </si>
  <si>
    <t xml:space="preserve">DF_Flow_6</t>
  </si>
  <si>
    <t xml:space="preserve">DF_Flow_7</t>
  </si>
  <si>
    <t xml:space="preserve">DF_Flow_8</t>
  </si>
  <si>
    <t xml:space="preserve">DF_Flow_9</t>
  </si>
  <si>
    <t xml:space="preserve">DF_Flow_10</t>
  </si>
  <si>
    <t xml:space="preserve">DF_Flow_11</t>
  </si>
  <si>
    <t xml:space="preserve">DF_Flow_12</t>
  </si>
  <si>
    <t xml:space="preserve">DF_Flow_13</t>
  </si>
  <si>
    <t xml:space="preserve">DF_Flow_14</t>
  </si>
  <si>
    <t xml:space="preserve">DF_Flow_15</t>
  </si>
  <si>
    <t xml:space="preserve">DF_Flow_16</t>
  </si>
  <si>
    <t xml:space="preserve">DF_Flow_17</t>
  </si>
  <si>
    <t xml:space="preserve">DF_Flow_18</t>
  </si>
  <si>
    <t xml:space="preserve">Message</t>
  </si>
  <si>
    <t xml:space="preserve">DB_MsgFlow_1</t>
  </si>
  <si>
    <t xml:space="preserve">Signed agreement</t>
  </si>
  <si>
    <t xml:space="preserve">Landowner / seller (pool)</t>
  </si>
  <si>
    <t xml:space="preserve">DB_MsgFlow_2</t>
  </si>
  <si>
    <t xml:space="preserve">Milestone payment</t>
  </si>
  <si>
    <t xml:space="preserve">DB_MsgFlow_3</t>
  </si>
  <si>
    <t xml:space="preserve">Taxes and transfer documents</t>
  </si>
  <si>
    <t xml:space="preserve">BIR, RD, LGU, DHSUD (pool)</t>
  </si>
  <si>
    <t xml:space="preserve">DB_MsgFlow_4</t>
  </si>
  <si>
    <t xml:space="preserve">eCAR, new TCT</t>
  </si>
  <si>
    <t xml:space="preserve">DB_MsgFlow_5</t>
  </si>
  <si>
    <t xml:space="preserve">Permit and LTS applications</t>
  </si>
  <si>
    <t xml:space="preserve">DC_MsgFlow_1</t>
  </si>
  <si>
    <t xml:space="preserve">Reservation request</t>
  </si>
  <si>
    <t xml:space="preserve">Buyer (pool)</t>
  </si>
  <si>
    <t xml:space="preserve">DC_MsgFlow_2</t>
  </si>
  <si>
    <t xml:space="preserve">Sales computation</t>
  </si>
  <si>
    <t xml:space="preserve">DC_MsgFlow_3</t>
  </si>
  <si>
    <t xml:space="preserve">Reservation fee</t>
  </si>
  <si>
    <t xml:space="preserve">DC_MsgFlow_4</t>
  </si>
  <si>
    <t xml:space="preserve">Invoice / receipt</t>
  </si>
  <si>
    <t xml:space="preserve">DC_MsgFlow_5</t>
  </si>
  <si>
    <t xml:space="preserve">KYC and financing documents</t>
  </si>
  <si>
    <t xml:space="preserve">DC_MsgFlow_6</t>
  </si>
  <si>
    <t xml:space="preserve">CTS for signature</t>
  </si>
  <si>
    <t xml:space="preserve">DC_MsgFlow_7</t>
  </si>
  <si>
    <t xml:space="preserve">Signed CTS</t>
  </si>
  <si>
    <t xml:space="preserve">DD1_MsgFlow_1</t>
  </si>
  <si>
    <t xml:space="preserve">SOA</t>
  </si>
  <si>
    <t xml:space="preserve">DD1_MsgFlow_2</t>
  </si>
  <si>
    <t xml:space="preserve">Payment</t>
  </si>
  <si>
    <t xml:space="preserve">DD1_MsgFlow_3</t>
  </si>
  <si>
    <t xml:space="preserve">Notice of cancellation</t>
  </si>
  <si>
    <t xml:space="preserve">DD1_MsgFlow_4</t>
  </si>
  <si>
    <t xml:space="preserve">Refund (if any)</t>
  </si>
  <si>
    <t xml:space="preserve">DD2_MsgFlow_1</t>
  </si>
  <si>
    <t xml:space="preserve">Loan application</t>
  </si>
  <si>
    <t xml:space="preserve">Bank / Pag-IBIG (pool)</t>
  </si>
  <si>
    <t xml:space="preserve">DD2_MsgFlow_2</t>
  </si>
  <si>
    <t xml:space="preserve">LOG / NOA or disapproval</t>
  </si>
  <si>
    <t xml:space="preserve">DD2_MsgFlow_3</t>
  </si>
  <si>
    <t xml:space="preserve">Title and release documents</t>
  </si>
  <si>
    <t xml:space="preserve">DD2_MsgFlow_4</t>
  </si>
  <si>
    <t xml:space="preserve">Loan proceeds</t>
  </si>
  <si>
    <t xml:space="preserve">DD2_MsgFlow_5</t>
  </si>
  <si>
    <t xml:space="preserve">Shortfall notice</t>
  </si>
  <si>
    <t xml:space="preserve">DE_MsgFlow_1</t>
  </si>
  <si>
    <t xml:space="preserve">PO / contract</t>
  </si>
  <si>
    <t xml:space="preserve">Supplier / contractor / broker (pool)</t>
  </si>
  <si>
    <t xml:space="preserve">DE_MsgFlow_2</t>
  </si>
  <si>
    <t xml:space="preserve">Goods, services, accomplishment</t>
  </si>
  <si>
    <t xml:space="preserve">DE_MsgFlow_3</t>
  </si>
  <si>
    <t xml:space="preserve">Invoice / billing</t>
  </si>
  <si>
    <t xml:space="preserve">DE_MsgFlow_4</t>
  </si>
  <si>
    <t xml:space="preserve">Payment and 2307</t>
  </si>
  <si>
    <t xml:space="preserve">DF_MsgFlow_1</t>
  </si>
  <si>
    <t xml:space="preserve">Turnover schedule</t>
  </si>
  <si>
    <t xml:space="preserve">DF_MsgFlow_2</t>
  </si>
  <si>
    <t xml:space="preserve">Taxes, fees, filings</t>
  </si>
  <si>
    <t xml:space="preserve">BIR, RD, assessor (pool)</t>
  </si>
  <si>
    <t xml:space="preserve">DF_MsgFlow_3</t>
  </si>
  <si>
    <t xml:space="preserve">New title, tax declaration</t>
  </si>
  <si>
    <t xml:space="preserve">DF_MsgFlow_4</t>
  </si>
  <si>
    <t xml:space="preserve">Title (or to lender)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</si>
</sst>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D4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A8"/>
        <bgColor rgb="FFFFFFCC"/>
      </patternFill>
    </fill>
    <fill>
      <patternFill patternType="solid">
        <fgColor rgb="FF0F1D4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0E4"/>
      </left>
      <right style="thin">
        <color rgb="FFC7D0E4"/>
      </right>
      <top style="thin">
        <color rgb="FFC7D0E4"/>
      </top>
      <bottom style="thin">
        <color rgb="FFC7D0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1D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A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7D0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D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iagrams" displayName="Diagrams" ref="A1:K8" headerRowCount="1" totalsRowCount="0" totalsRowShown="0">
  <autoFilter ref="A1:K8"/>
  <tableColumns count="11">
    <tableColumn id="1" name="Diagram"/>
    <tableColumn id="2" name="Title"/>
    <tableColumn id="3" name="Covers processes"/>
    <tableColumn id="4" name="BPMN file"/>
    <tableColumn id="5" name="Lanes"/>
    <tableColumn id="6" name="Tasks"/>
    <tableColumn id="7" name="Gateways"/>
    <tableColumn id="8" name="Events"/>
    <tableColumn id="9" name="Sequence flows"/>
    <tableColumn id="10" name="Message flows"/>
    <tableColumn id="11" name="Description"/>
  </tableColumns>
</table>
</file>

<file path=xl/tables/table2.xml><?xml version="1.0" encoding="utf-8"?>
<table xmlns="http://schemas.openxmlformats.org/spreadsheetml/2006/main" id="2" name="FlowNodes" displayName="FlowNodes" ref="A1:H98" headerRowCount="1" totalsRowCount="0" totalsRowShown="0">
  <autoFilter ref="A1:H98"/>
  <tableColumns count="8">
    <tableColumn id="1" name="Diagram"/>
    <tableColumn id="2" name="BPMN ID"/>
    <tableColumn id="3" name="Name"/>
    <tableColumn id="4" name="Type"/>
    <tableColumn id="5" name="Lane"/>
    <tableColumn id="6" name="Odoo app / object"/>
    <tableColumn id="7" name="BRD requirement ID"/>
    <tableColumn id="8" name="Notes"/>
  </tableColumns>
</table>
</file>

<file path=xl/tables/table3.xml><?xml version="1.0" encoding="utf-8"?>
<table xmlns="http://schemas.openxmlformats.org/spreadsheetml/2006/main" id="3" name="Lanes" displayName="Lanes" ref="A1:D46" headerRowCount="1" totalsRowCount="0" totalsRowShown="0">
  <autoFilter ref="A1:D46"/>
  <tableColumns count="4">
    <tableColumn id="1" name="Diagram"/>
    <tableColumn id="2" name="BPMN ID"/>
    <tableColumn id="3" name="Lane / participant"/>
    <tableColumn id="4" name="Kind"/>
  </tableColumns>
</table>
</file>

<file path=xl/tables/table4.xml><?xml version="1.0" encoding="utf-8"?>
<table xmlns="http://schemas.openxmlformats.org/spreadsheetml/2006/main" id="4" name="MessageFlows" displayName="MessageFlows" ref="A1:G30" headerRowCount="1" totalsRowCount="0" totalsRowShown="0">
  <autoFilter ref="A1:G30"/>
  <tableColumns count="7">
    <tableColumn id="1" name="Diagram"/>
    <tableColumn id="2" name="BPMN ID"/>
    <tableColumn id="3" name="Message"/>
    <tableColumn id="4" name="Source ID"/>
    <tableColumn id="5" name="Source"/>
    <tableColumn id="6" name="Target ID"/>
    <tableColumn id="7" name="Target"/>
  </tableColumns>
</table>
</file>

<file path=xl/tables/table5.xml><?xml version="1.0" encoding="utf-8"?>
<table xmlns="http://schemas.openxmlformats.org/spreadsheetml/2006/main" id="5" name="SequenceFlows" displayName="SequenceFlows" ref="A1:G98" headerRowCount="1" totalsRowCount="0" totalsRowShown="0">
  <autoFilter ref="A1:G98"/>
  <tableColumns count="7">
    <tableColumn id="1" name="Diagram"/>
    <tableColumn id="2" name="BPMN ID"/>
    <tableColumn id="3" name="Source ID"/>
    <tableColumn id="4" name="Source"/>
    <tableColumn id="5" name="Target ID"/>
    <tableColumn id="6" name="Target"/>
    <tableColumn id="7" name="Condition / labe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4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1" min="11" style="0" width="70"/>
  </cols>
  <sheetData>
    <row r="1" customFormat="false" ht="35.05" hidden="false" customHeight="false" outlineLevel="0" collapsed="false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</row>
    <row r="2" customFormat="false" ht="23.85" hidden="false" customHeight="false" outlineLevel="0" collapsed="false">
      <c r="A2" s="6" t="s">
        <v>22</v>
      </c>
      <c r="B2" s="6" t="s">
        <v>23</v>
      </c>
      <c r="C2" s="6" t="s">
        <v>24</v>
      </c>
      <c r="D2" s="6" t="s">
        <v>25</v>
      </c>
      <c r="E2" s="6" t="n">
        <f aca="false">COUNTIFS(Lanes!$A:$A,A2)</f>
        <v>5</v>
      </c>
      <c r="F2" s="6" t="n">
        <f aca="false">COUNTIFS('Flow Nodes'!$A:$A,A2,'Flow Nodes'!$D:$D,"Task")</f>
        <v>6</v>
      </c>
      <c r="G2" s="6" t="n">
        <f aca="false">COUNTIFS('Flow Nodes'!$A:$A,A2,'Flow Nodes'!$D:$D,"*gateway")</f>
        <v>3</v>
      </c>
      <c r="H2" s="6" t="n">
        <f aca="false">COUNTIFS('Flow Nodes'!$A:$A,A2,'Flow Nodes'!$D:$D,"*event")</f>
        <v>2</v>
      </c>
      <c r="I2" s="6" t="n">
        <f aca="false">COUNTIFS('Sequence Flows'!$A:$A,A2)</f>
        <v>12</v>
      </c>
      <c r="J2" s="6" t="n">
        <f aca="false">COUNTIFS('Message Flows'!$A:$A,A2)</f>
        <v>0</v>
      </c>
      <c r="K2" s="6" t="s">
        <v>26</v>
      </c>
    </row>
    <row r="3" customFormat="false" ht="35.05" hidden="false" customHeight="false" outlineLevel="0" collapsed="false">
      <c r="A3" s="6" t="s">
        <v>27</v>
      </c>
      <c r="B3" s="6" t="s">
        <v>28</v>
      </c>
      <c r="C3" s="6" t="s">
        <v>29</v>
      </c>
      <c r="D3" s="6" t="s">
        <v>30</v>
      </c>
      <c r="E3" s="6" t="n">
        <f aca="false">COUNTIFS(Lanes!$A:$A,A3)</f>
        <v>8</v>
      </c>
      <c r="F3" s="6" t="n">
        <f aca="false">COUNTIFS('Flow Nodes'!$A:$A,A3,'Flow Nodes'!$D:$D,"Task")</f>
        <v>8</v>
      </c>
      <c r="G3" s="6" t="n">
        <f aca="false">COUNTIFS('Flow Nodes'!$A:$A,A3,'Flow Nodes'!$D:$D,"*gateway")</f>
        <v>1</v>
      </c>
      <c r="H3" s="6" t="n">
        <f aca="false">COUNTIFS('Flow Nodes'!$A:$A,A3,'Flow Nodes'!$D:$D,"*event")</f>
        <v>4</v>
      </c>
      <c r="I3" s="6" t="n">
        <f aca="false">COUNTIFS('Sequence Flows'!$A:$A,A3)</f>
        <v>12</v>
      </c>
      <c r="J3" s="6" t="n">
        <f aca="false">COUNTIFS('Message Flows'!$A:$A,A3)</f>
        <v>5</v>
      </c>
      <c r="K3" s="6" t="s">
        <v>31</v>
      </c>
    </row>
    <row r="4" customFormat="false" ht="35.05" hidden="false" customHeight="false" outlineLevel="0" collapsed="false">
      <c r="A4" s="6" t="s">
        <v>32</v>
      </c>
      <c r="B4" s="6" t="s">
        <v>33</v>
      </c>
      <c r="C4" s="6" t="s">
        <v>34</v>
      </c>
      <c r="D4" s="6" t="s">
        <v>35</v>
      </c>
      <c r="E4" s="6" t="n">
        <f aca="false">COUNTIFS(Lanes!$A:$A,A4)</f>
        <v>6</v>
      </c>
      <c r="F4" s="6" t="n">
        <f aca="false">COUNTIFS('Flow Nodes'!$A:$A,A4,'Flow Nodes'!$D:$D,"Task")</f>
        <v>9</v>
      </c>
      <c r="G4" s="6" t="n">
        <f aca="false">COUNTIFS('Flow Nodes'!$A:$A,A4,'Flow Nodes'!$D:$D,"*gateway")</f>
        <v>2</v>
      </c>
      <c r="H4" s="6" t="n">
        <f aca="false">COUNTIFS('Flow Nodes'!$A:$A,A4,'Flow Nodes'!$D:$D,"*event")</f>
        <v>3</v>
      </c>
      <c r="I4" s="6" t="n">
        <f aca="false">COUNTIFS('Sequence Flows'!$A:$A,A4)</f>
        <v>15</v>
      </c>
      <c r="J4" s="6" t="n">
        <f aca="false">COUNTIFS('Message Flows'!$A:$A,A4)</f>
        <v>7</v>
      </c>
      <c r="K4" s="6" t="s">
        <v>36</v>
      </c>
    </row>
    <row r="5" customFormat="false" ht="35.05" hidden="false" customHeight="false" outlineLevel="0" collapsed="false">
      <c r="A5" s="6" t="s">
        <v>37</v>
      </c>
      <c r="B5" s="6" t="s">
        <v>38</v>
      </c>
      <c r="C5" s="6" t="s">
        <v>39</v>
      </c>
      <c r="D5" s="6" t="s">
        <v>40</v>
      </c>
      <c r="E5" s="6" t="n">
        <f aca="false">COUNTIFS(Lanes!$A:$A,A5)</f>
        <v>6</v>
      </c>
      <c r="F5" s="6" t="n">
        <f aca="false">COUNTIFS('Flow Nodes'!$A:$A,A5,'Flow Nodes'!$D:$D,"Task")</f>
        <v>7</v>
      </c>
      <c r="G5" s="6" t="n">
        <f aca="false">COUNTIFS('Flow Nodes'!$A:$A,A5,'Flow Nodes'!$D:$D,"*gateway")</f>
        <v>2</v>
      </c>
      <c r="H5" s="6" t="n">
        <f aca="false">COUNTIFS('Flow Nodes'!$A:$A,A5,'Flow Nodes'!$D:$D,"*event")</f>
        <v>5</v>
      </c>
      <c r="I5" s="6" t="n">
        <f aca="false">COUNTIFS('Sequence Flows'!$A:$A,A5)</f>
        <v>14</v>
      </c>
      <c r="J5" s="6" t="n">
        <f aca="false">COUNTIFS('Message Flows'!$A:$A,A5)</f>
        <v>4</v>
      </c>
      <c r="K5" s="6" t="s">
        <v>41</v>
      </c>
    </row>
    <row r="6" customFormat="false" ht="35.05" hidden="false" customHeight="false" outlineLevel="0" collapsed="false">
      <c r="A6" s="6" t="s">
        <v>42</v>
      </c>
      <c r="B6" s="6" t="s">
        <v>43</v>
      </c>
      <c r="C6" s="6" t="s">
        <v>44</v>
      </c>
      <c r="D6" s="6" t="s">
        <v>45</v>
      </c>
      <c r="E6" s="6" t="n">
        <f aca="false">COUNTIFS(Lanes!$A:$A,A6)</f>
        <v>6</v>
      </c>
      <c r="F6" s="6" t="n">
        <f aca="false">COUNTIFS('Flow Nodes'!$A:$A,A6,'Flow Nodes'!$D:$D,"Task")</f>
        <v>7</v>
      </c>
      <c r="G6" s="6" t="n">
        <f aca="false">COUNTIFS('Flow Nodes'!$A:$A,A6,'Flow Nodes'!$D:$D,"*gateway")</f>
        <v>2</v>
      </c>
      <c r="H6" s="6" t="n">
        <f aca="false">COUNTIFS('Flow Nodes'!$A:$A,A6,'Flow Nodes'!$D:$D,"*event")</f>
        <v>6</v>
      </c>
      <c r="I6" s="6" t="n">
        <f aca="false">COUNTIFS('Sequence Flows'!$A:$A,A6)</f>
        <v>14</v>
      </c>
      <c r="J6" s="6" t="n">
        <f aca="false">COUNTIFS('Message Flows'!$A:$A,A6)</f>
        <v>5</v>
      </c>
      <c r="K6" s="6" t="s">
        <v>46</v>
      </c>
    </row>
    <row r="7" customFormat="false" ht="35.05" hidden="false" customHeight="false" outlineLevel="0" collapsed="false">
      <c r="A7" s="6" t="s">
        <v>47</v>
      </c>
      <c r="B7" s="6" t="s">
        <v>48</v>
      </c>
      <c r="C7" s="6" t="s">
        <v>49</v>
      </c>
      <c r="D7" s="6" t="s">
        <v>50</v>
      </c>
      <c r="E7" s="6" t="n">
        <f aca="false">COUNTIFS(Lanes!$A:$A,A7)</f>
        <v>7</v>
      </c>
      <c r="F7" s="6" t="n">
        <f aca="false">COUNTIFS('Flow Nodes'!$A:$A,A7,'Flow Nodes'!$D:$D,"Task")</f>
        <v>7</v>
      </c>
      <c r="G7" s="6" t="n">
        <f aca="false">COUNTIFS('Flow Nodes'!$A:$A,A7,'Flow Nodes'!$D:$D,"*gateway")</f>
        <v>1</v>
      </c>
      <c r="H7" s="6" t="n">
        <f aca="false">COUNTIFS('Flow Nodes'!$A:$A,A7,'Flow Nodes'!$D:$D,"*event")</f>
        <v>4</v>
      </c>
      <c r="I7" s="6" t="n">
        <f aca="false">COUNTIFS('Sequence Flows'!$A:$A,A7)</f>
        <v>12</v>
      </c>
      <c r="J7" s="6" t="n">
        <f aca="false">COUNTIFS('Message Flows'!$A:$A,A7)</f>
        <v>4</v>
      </c>
      <c r="K7" s="6" t="s">
        <v>51</v>
      </c>
    </row>
    <row r="8" customFormat="false" ht="35.05" hidden="false" customHeight="false" outlineLevel="0" collapsed="false">
      <c r="A8" s="6" t="s">
        <v>52</v>
      </c>
      <c r="B8" s="6" t="s">
        <v>53</v>
      </c>
      <c r="C8" s="6" t="s">
        <v>54</v>
      </c>
      <c r="D8" s="6" t="s">
        <v>55</v>
      </c>
      <c r="E8" s="6" t="n">
        <f aca="false">COUNTIFS(Lanes!$A:$A,A8)</f>
        <v>7</v>
      </c>
      <c r="F8" s="6" t="n">
        <f aca="false">COUNTIFS('Flow Nodes'!$A:$A,A8,'Flow Nodes'!$D:$D,"Task")</f>
        <v>10</v>
      </c>
      <c r="G8" s="6" t="n">
        <f aca="false">COUNTIFS('Flow Nodes'!$A:$A,A8,'Flow Nodes'!$D:$D,"*gateway")</f>
        <v>3</v>
      </c>
      <c r="H8" s="6" t="n">
        <f aca="false">COUNTIFS('Flow Nodes'!$A:$A,A8,'Flow Nodes'!$D:$D,"*event")</f>
        <v>5</v>
      </c>
      <c r="I8" s="6" t="n">
        <f aca="false">COUNTIFS('Sequence Flows'!$A:$A,A8)</f>
        <v>18</v>
      </c>
      <c r="J8" s="6" t="n">
        <f aca="false">COUNTIFS('Message Flows'!$A:$A,A8)</f>
        <v>4</v>
      </c>
      <c r="K8" s="6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5" t="s">
        <v>11</v>
      </c>
      <c r="B1" s="5" t="s">
        <v>57</v>
      </c>
      <c r="C1" s="5" t="s">
        <v>58</v>
      </c>
      <c r="D1" s="5" t="s">
        <v>59</v>
      </c>
    </row>
    <row r="2" customFormat="false" ht="15" hidden="false" customHeight="false" outlineLevel="0" collapsed="false">
      <c r="A2" s="6" t="s">
        <v>22</v>
      </c>
      <c r="B2" s="6" t="s">
        <v>60</v>
      </c>
      <c r="C2" s="6" t="s">
        <v>61</v>
      </c>
      <c r="D2" s="6" t="s">
        <v>62</v>
      </c>
    </row>
    <row r="3" customFormat="false" ht="15" hidden="false" customHeight="false" outlineLevel="0" collapsed="false">
      <c r="A3" s="6" t="s">
        <v>22</v>
      </c>
      <c r="B3" s="6" t="s">
        <v>63</v>
      </c>
      <c r="C3" s="6" t="s">
        <v>64</v>
      </c>
      <c r="D3" s="6" t="s">
        <v>62</v>
      </c>
    </row>
    <row r="4" customFormat="false" ht="15" hidden="false" customHeight="false" outlineLevel="0" collapsed="false">
      <c r="A4" s="6" t="s">
        <v>22</v>
      </c>
      <c r="B4" s="6" t="s">
        <v>65</v>
      </c>
      <c r="C4" s="6" t="s">
        <v>66</v>
      </c>
      <c r="D4" s="6" t="s">
        <v>62</v>
      </c>
    </row>
    <row r="5" customFormat="false" ht="15" hidden="false" customHeight="false" outlineLevel="0" collapsed="false">
      <c r="A5" s="6" t="s">
        <v>22</v>
      </c>
      <c r="B5" s="6" t="s">
        <v>67</v>
      </c>
      <c r="C5" s="6" t="s">
        <v>68</v>
      </c>
      <c r="D5" s="6" t="s">
        <v>62</v>
      </c>
    </row>
    <row r="6" customFormat="false" ht="15" hidden="false" customHeight="false" outlineLevel="0" collapsed="false">
      <c r="A6" s="6" t="s">
        <v>22</v>
      </c>
      <c r="B6" s="6" t="s">
        <v>69</v>
      </c>
      <c r="C6" s="6" t="s">
        <v>70</v>
      </c>
      <c r="D6" s="6" t="s">
        <v>62</v>
      </c>
    </row>
    <row r="7" customFormat="false" ht="15" hidden="false" customHeight="false" outlineLevel="0" collapsed="false">
      <c r="A7" s="6" t="s">
        <v>27</v>
      </c>
      <c r="B7" s="6" t="s">
        <v>71</v>
      </c>
      <c r="C7" s="6" t="s">
        <v>72</v>
      </c>
      <c r="D7" s="6" t="s">
        <v>73</v>
      </c>
    </row>
    <row r="8" customFormat="false" ht="15" hidden="false" customHeight="false" outlineLevel="0" collapsed="false">
      <c r="A8" s="6" t="s">
        <v>27</v>
      </c>
      <c r="B8" s="6" t="s">
        <v>74</v>
      </c>
      <c r="C8" s="6" t="s">
        <v>75</v>
      </c>
      <c r="D8" s="6" t="s">
        <v>62</v>
      </c>
    </row>
    <row r="9" customFormat="false" ht="15" hidden="false" customHeight="false" outlineLevel="0" collapsed="false">
      <c r="A9" s="6" t="s">
        <v>27</v>
      </c>
      <c r="B9" s="6" t="s">
        <v>76</v>
      </c>
      <c r="C9" s="6" t="s">
        <v>77</v>
      </c>
      <c r="D9" s="6" t="s">
        <v>62</v>
      </c>
    </row>
    <row r="10" customFormat="false" ht="15" hidden="false" customHeight="false" outlineLevel="0" collapsed="false">
      <c r="A10" s="6" t="s">
        <v>27</v>
      </c>
      <c r="B10" s="6" t="s">
        <v>78</v>
      </c>
      <c r="C10" s="6" t="s">
        <v>79</v>
      </c>
      <c r="D10" s="6" t="s">
        <v>62</v>
      </c>
    </row>
    <row r="11" customFormat="false" ht="15" hidden="false" customHeight="false" outlineLevel="0" collapsed="false">
      <c r="A11" s="6" t="s">
        <v>27</v>
      </c>
      <c r="B11" s="6" t="s">
        <v>80</v>
      </c>
      <c r="C11" s="6" t="s">
        <v>81</v>
      </c>
      <c r="D11" s="6" t="s">
        <v>62</v>
      </c>
    </row>
    <row r="12" customFormat="false" ht="15" hidden="false" customHeight="false" outlineLevel="0" collapsed="false">
      <c r="A12" s="6" t="s">
        <v>27</v>
      </c>
      <c r="B12" s="6" t="s">
        <v>82</v>
      </c>
      <c r="C12" s="6" t="s">
        <v>68</v>
      </c>
      <c r="D12" s="6" t="s">
        <v>62</v>
      </c>
    </row>
    <row r="13" customFormat="false" ht="15" hidden="false" customHeight="false" outlineLevel="0" collapsed="false">
      <c r="A13" s="6" t="s">
        <v>27</v>
      </c>
      <c r="B13" s="6" t="s">
        <v>83</v>
      </c>
      <c r="C13" s="6" t="s">
        <v>84</v>
      </c>
      <c r="D13" s="6" t="s">
        <v>62</v>
      </c>
    </row>
    <row r="14" customFormat="false" ht="15" hidden="false" customHeight="false" outlineLevel="0" collapsed="false">
      <c r="A14" s="6" t="s">
        <v>27</v>
      </c>
      <c r="B14" s="6" t="s">
        <v>85</v>
      </c>
      <c r="C14" s="6" t="s">
        <v>86</v>
      </c>
      <c r="D14" s="6" t="s">
        <v>73</v>
      </c>
    </row>
    <row r="15" customFormat="false" ht="15" hidden="false" customHeight="false" outlineLevel="0" collapsed="false">
      <c r="A15" s="6" t="s">
        <v>32</v>
      </c>
      <c r="B15" s="6" t="s">
        <v>87</v>
      </c>
      <c r="C15" s="6" t="s">
        <v>88</v>
      </c>
      <c r="D15" s="6" t="s">
        <v>73</v>
      </c>
    </row>
    <row r="16" customFormat="false" ht="15" hidden="false" customHeight="false" outlineLevel="0" collapsed="false">
      <c r="A16" s="6" t="s">
        <v>32</v>
      </c>
      <c r="B16" s="6" t="s">
        <v>89</v>
      </c>
      <c r="C16" s="6" t="s">
        <v>90</v>
      </c>
      <c r="D16" s="6" t="s">
        <v>62</v>
      </c>
    </row>
    <row r="17" customFormat="false" ht="15" hidden="false" customHeight="false" outlineLevel="0" collapsed="false">
      <c r="A17" s="6" t="s">
        <v>32</v>
      </c>
      <c r="B17" s="6" t="s">
        <v>91</v>
      </c>
      <c r="C17" s="6" t="s">
        <v>84</v>
      </c>
      <c r="D17" s="6" t="s">
        <v>62</v>
      </c>
    </row>
    <row r="18" customFormat="false" ht="15" hidden="false" customHeight="false" outlineLevel="0" collapsed="false">
      <c r="A18" s="6" t="s">
        <v>32</v>
      </c>
      <c r="B18" s="6" t="s">
        <v>92</v>
      </c>
      <c r="C18" s="6" t="s">
        <v>93</v>
      </c>
      <c r="D18" s="6" t="s">
        <v>62</v>
      </c>
    </row>
    <row r="19" customFormat="false" ht="15" hidden="false" customHeight="false" outlineLevel="0" collapsed="false">
      <c r="A19" s="6" t="s">
        <v>32</v>
      </c>
      <c r="B19" s="6" t="s">
        <v>94</v>
      </c>
      <c r="C19" s="6" t="s">
        <v>95</v>
      </c>
      <c r="D19" s="6" t="s">
        <v>62</v>
      </c>
    </row>
    <row r="20" customFormat="false" ht="15" hidden="false" customHeight="false" outlineLevel="0" collapsed="false">
      <c r="A20" s="6" t="s">
        <v>32</v>
      </c>
      <c r="B20" s="6" t="s">
        <v>96</v>
      </c>
      <c r="C20" s="6" t="s">
        <v>97</v>
      </c>
      <c r="D20" s="6" t="s">
        <v>62</v>
      </c>
    </row>
    <row r="21" customFormat="false" ht="15" hidden="false" customHeight="false" outlineLevel="0" collapsed="false">
      <c r="A21" s="6" t="s">
        <v>37</v>
      </c>
      <c r="B21" s="6" t="s">
        <v>98</v>
      </c>
      <c r="C21" s="6" t="s">
        <v>95</v>
      </c>
      <c r="D21" s="6" t="s">
        <v>62</v>
      </c>
    </row>
    <row r="22" customFormat="false" ht="15" hidden="false" customHeight="false" outlineLevel="0" collapsed="false">
      <c r="A22" s="6" t="s">
        <v>37</v>
      </c>
      <c r="B22" s="6" t="s">
        <v>99</v>
      </c>
      <c r="C22" s="6" t="s">
        <v>93</v>
      </c>
      <c r="D22" s="6" t="s">
        <v>62</v>
      </c>
    </row>
    <row r="23" customFormat="false" ht="15" hidden="false" customHeight="false" outlineLevel="0" collapsed="false">
      <c r="A23" s="6" t="s">
        <v>37</v>
      </c>
      <c r="B23" s="6" t="s">
        <v>100</v>
      </c>
      <c r="C23" s="6" t="s">
        <v>101</v>
      </c>
      <c r="D23" s="6" t="s">
        <v>62</v>
      </c>
    </row>
    <row r="24" customFormat="false" ht="15" hidden="false" customHeight="false" outlineLevel="0" collapsed="false">
      <c r="A24" s="6" t="s">
        <v>37</v>
      </c>
      <c r="B24" s="6" t="s">
        <v>102</v>
      </c>
      <c r="C24" s="6" t="s">
        <v>103</v>
      </c>
      <c r="D24" s="6" t="s">
        <v>62</v>
      </c>
    </row>
    <row r="25" customFormat="false" ht="15" hidden="false" customHeight="false" outlineLevel="0" collapsed="false">
      <c r="A25" s="6" t="s">
        <v>37</v>
      </c>
      <c r="B25" s="6" t="s">
        <v>104</v>
      </c>
      <c r="C25" s="6" t="s">
        <v>105</v>
      </c>
      <c r="D25" s="6" t="s">
        <v>62</v>
      </c>
    </row>
    <row r="26" customFormat="false" ht="15" hidden="false" customHeight="false" outlineLevel="0" collapsed="false">
      <c r="A26" s="6" t="s">
        <v>37</v>
      </c>
      <c r="B26" s="6" t="s">
        <v>106</v>
      </c>
      <c r="C26" s="6" t="s">
        <v>88</v>
      </c>
      <c r="D26" s="6" t="s">
        <v>73</v>
      </c>
    </row>
    <row r="27" customFormat="false" ht="15" hidden="false" customHeight="false" outlineLevel="0" collapsed="false">
      <c r="A27" s="6" t="s">
        <v>42</v>
      </c>
      <c r="B27" s="6" t="s">
        <v>107</v>
      </c>
      <c r="C27" s="6" t="s">
        <v>88</v>
      </c>
      <c r="D27" s="6" t="s">
        <v>73</v>
      </c>
    </row>
    <row r="28" customFormat="false" ht="15" hidden="false" customHeight="false" outlineLevel="0" collapsed="false">
      <c r="A28" s="6" t="s">
        <v>42</v>
      </c>
      <c r="B28" s="6" t="s">
        <v>108</v>
      </c>
      <c r="C28" s="6" t="s">
        <v>95</v>
      </c>
      <c r="D28" s="6" t="s">
        <v>62</v>
      </c>
    </row>
    <row r="29" customFormat="false" ht="15" hidden="false" customHeight="false" outlineLevel="0" collapsed="false">
      <c r="A29" s="6" t="s">
        <v>42</v>
      </c>
      <c r="B29" s="6" t="s">
        <v>109</v>
      </c>
      <c r="C29" s="6" t="s">
        <v>110</v>
      </c>
      <c r="D29" s="6" t="s">
        <v>62</v>
      </c>
    </row>
    <row r="30" customFormat="false" ht="15" hidden="false" customHeight="false" outlineLevel="0" collapsed="false">
      <c r="A30" s="6" t="s">
        <v>42</v>
      </c>
      <c r="B30" s="6" t="s">
        <v>111</v>
      </c>
      <c r="C30" s="6" t="s">
        <v>93</v>
      </c>
      <c r="D30" s="6" t="s">
        <v>62</v>
      </c>
    </row>
    <row r="31" customFormat="false" ht="15" hidden="false" customHeight="false" outlineLevel="0" collapsed="false">
      <c r="A31" s="6" t="s">
        <v>42</v>
      </c>
      <c r="B31" s="6" t="s">
        <v>112</v>
      </c>
      <c r="C31" s="6" t="s">
        <v>113</v>
      </c>
      <c r="D31" s="6" t="s">
        <v>62</v>
      </c>
    </row>
    <row r="32" customFormat="false" ht="15" hidden="false" customHeight="false" outlineLevel="0" collapsed="false">
      <c r="A32" s="6" t="s">
        <v>42</v>
      </c>
      <c r="B32" s="6" t="s">
        <v>114</v>
      </c>
      <c r="C32" s="6" t="s">
        <v>115</v>
      </c>
      <c r="D32" s="6" t="s">
        <v>73</v>
      </c>
    </row>
    <row r="33" customFormat="false" ht="15" hidden="false" customHeight="false" outlineLevel="0" collapsed="false">
      <c r="A33" s="6" t="s">
        <v>47</v>
      </c>
      <c r="B33" s="6" t="s">
        <v>116</v>
      </c>
      <c r="C33" s="6" t="s">
        <v>117</v>
      </c>
      <c r="D33" s="6" t="s">
        <v>73</v>
      </c>
    </row>
    <row r="34" customFormat="false" ht="15" hidden="false" customHeight="false" outlineLevel="0" collapsed="false">
      <c r="A34" s="6" t="s">
        <v>47</v>
      </c>
      <c r="B34" s="6" t="s">
        <v>118</v>
      </c>
      <c r="C34" s="6" t="s">
        <v>119</v>
      </c>
      <c r="D34" s="6" t="s">
        <v>62</v>
      </c>
    </row>
    <row r="35" customFormat="false" ht="15" hidden="false" customHeight="false" outlineLevel="0" collapsed="false">
      <c r="A35" s="6" t="s">
        <v>47</v>
      </c>
      <c r="B35" s="6" t="s">
        <v>120</v>
      </c>
      <c r="C35" s="6" t="s">
        <v>121</v>
      </c>
      <c r="D35" s="6" t="s">
        <v>62</v>
      </c>
    </row>
    <row r="36" customFormat="false" ht="15" hidden="false" customHeight="false" outlineLevel="0" collapsed="false">
      <c r="A36" s="6" t="s">
        <v>47</v>
      </c>
      <c r="B36" s="6" t="s">
        <v>122</v>
      </c>
      <c r="C36" s="6" t="s">
        <v>123</v>
      </c>
      <c r="D36" s="6" t="s">
        <v>62</v>
      </c>
    </row>
    <row r="37" customFormat="false" ht="15" hidden="false" customHeight="false" outlineLevel="0" collapsed="false">
      <c r="A37" s="6" t="s">
        <v>47</v>
      </c>
      <c r="B37" s="6" t="s">
        <v>124</v>
      </c>
      <c r="C37" s="6" t="s">
        <v>125</v>
      </c>
      <c r="D37" s="6" t="s">
        <v>62</v>
      </c>
    </row>
    <row r="38" customFormat="false" ht="15" hidden="false" customHeight="false" outlineLevel="0" collapsed="false">
      <c r="A38" s="6" t="s">
        <v>47</v>
      </c>
      <c r="B38" s="6" t="s">
        <v>126</v>
      </c>
      <c r="C38" s="6" t="s">
        <v>127</v>
      </c>
      <c r="D38" s="6" t="s">
        <v>62</v>
      </c>
    </row>
    <row r="39" customFormat="false" ht="15" hidden="false" customHeight="false" outlineLevel="0" collapsed="false">
      <c r="A39" s="6" t="s">
        <v>47</v>
      </c>
      <c r="B39" s="6" t="s">
        <v>128</v>
      </c>
      <c r="C39" s="6" t="s">
        <v>129</v>
      </c>
      <c r="D39" s="6" t="s">
        <v>62</v>
      </c>
    </row>
    <row r="40" customFormat="false" ht="15" hidden="false" customHeight="false" outlineLevel="0" collapsed="false">
      <c r="A40" s="6" t="s">
        <v>52</v>
      </c>
      <c r="B40" s="6" t="s">
        <v>130</v>
      </c>
      <c r="C40" s="6" t="s">
        <v>88</v>
      </c>
      <c r="D40" s="6" t="s">
        <v>73</v>
      </c>
    </row>
    <row r="41" customFormat="false" ht="15" hidden="false" customHeight="false" outlineLevel="0" collapsed="false">
      <c r="A41" s="6" t="s">
        <v>52</v>
      </c>
      <c r="B41" s="6" t="s">
        <v>131</v>
      </c>
      <c r="C41" s="6" t="s">
        <v>132</v>
      </c>
      <c r="D41" s="6" t="s">
        <v>62</v>
      </c>
    </row>
    <row r="42" customFormat="false" ht="15" hidden="false" customHeight="false" outlineLevel="0" collapsed="false">
      <c r="A42" s="6" t="s">
        <v>52</v>
      </c>
      <c r="B42" s="6" t="s">
        <v>133</v>
      </c>
      <c r="C42" s="6" t="s">
        <v>95</v>
      </c>
      <c r="D42" s="6" t="s">
        <v>62</v>
      </c>
    </row>
    <row r="43" customFormat="false" ht="15" hidden="false" customHeight="false" outlineLevel="0" collapsed="false">
      <c r="A43" s="6" t="s">
        <v>52</v>
      </c>
      <c r="B43" s="6" t="s">
        <v>134</v>
      </c>
      <c r="C43" s="6" t="s">
        <v>135</v>
      </c>
      <c r="D43" s="6" t="s">
        <v>62</v>
      </c>
    </row>
    <row r="44" customFormat="false" ht="15" hidden="false" customHeight="false" outlineLevel="0" collapsed="false">
      <c r="A44" s="6" t="s">
        <v>52</v>
      </c>
      <c r="B44" s="6" t="s">
        <v>136</v>
      </c>
      <c r="C44" s="6" t="s">
        <v>137</v>
      </c>
      <c r="D44" s="6" t="s">
        <v>62</v>
      </c>
    </row>
    <row r="45" customFormat="false" ht="15" hidden="false" customHeight="false" outlineLevel="0" collapsed="false">
      <c r="A45" s="6" t="s">
        <v>52</v>
      </c>
      <c r="B45" s="6" t="s">
        <v>138</v>
      </c>
      <c r="C45" s="6" t="s">
        <v>113</v>
      </c>
      <c r="D45" s="6" t="s">
        <v>62</v>
      </c>
    </row>
    <row r="46" customFormat="false" ht="15" hidden="false" customHeight="false" outlineLevel="0" collapsed="false">
      <c r="A46" s="6" t="s">
        <v>52</v>
      </c>
      <c r="B46" s="6" t="s">
        <v>139</v>
      </c>
      <c r="C46" s="6" t="s">
        <v>140</v>
      </c>
      <c r="D46" s="6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6" min="4" style="0" width="30"/>
    <col collapsed="false" customWidth="true" hidden="false" outlineLevel="0" max="7" min="7" style="0" width="20"/>
    <col collapsed="false" customWidth="true" hidden="false" outlineLevel="0" max="8" min="8" style="0" width="36"/>
  </cols>
  <sheetData>
    <row r="1" customFormat="false" ht="15" hidden="false" customHeight="false" outlineLevel="0" collapsed="false">
      <c r="A1" s="5" t="s">
        <v>11</v>
      </c>
      <c r="B1" s="5" t="s">
        <v>57</v>
      </c>
      <c r="C1" s="5" t="s">
        <v>141</v>
      </c>
      <c r="D1" s="5" t="s">
        <v>142</v>
      </c>
      <c r="E1" s="5" t="s">
        <v>143</v>
      </c>
      <c r="F1" s="5" t="s">
        <v>144</v>
      </c>
      <c r="G1" s="5" t="s">
        <v>145</v>
      </c>
      <c r="H1" s="5" t="s">
        <v>146</v>
      </c>
    </row>
    <row r="2" customFormat="false" ht="15" hidden="false" customHeight="false" outlineLevel="0" collapsed="false">
      <c r="A2" s="6" t="s">
        <v>22</v>
      </c>
      <c r="B2" s="6" t="s">
        <v>147</v>
      </c>
      <c r="C2" s="6" t="s">
        <v>148</v>
      </c>
      <c r="D2" s="6" t="s">
        <v>149</v>
      </c>
      <c r="E2" s="6" t="s">
        <v>64</v>
      </c>
      <c r="F2" s="7"/>
      <c r="G2" s="7"/>
      <c r="H2" s="7"/>
    </row>
    <row r="3" customFormat="false" ht="15" hidden="false" customHeight="false" outlineLevel="0" collapsed="false">
      <c r="A3" s="6" t="s">
        <v>22</v>
      </c>
      <c r="B3" s="6" t="s">
        <v>150</v>
      </c>
      <c r="C3" s="6" t="s">
        <v>151</v>
      </c>
      <c r="D3" s="6" t="s">
        <v>152</v>
      </c>
      <c r="E3" s="6" t="s">
        <v>64</v>
      </c>
      <c r="F3" s="7"/>
      <c r="G3" s="7"/>
      <c r="H3" s="7"/>
    </row>
    <row r="4" customFormat="false" ht="15" hidden="false" customHeight="false" outlineLevel="0" collapsed="false">
      <c r="A4" s="6" t="s">
        <v>22</v>
      </c>
      <c r="B4" s="6" t="s">
        <v>153</v>
      </c>
      <c r="C4" s="6"/>
      <c r="D4" s="6" t="s">
        <v>154</v>
      </c>
      <c r="E4" s="6" t="s">
        <v>64</v>
      </c>
      <c r="F4" s="7"/>
      <c r="G4" s="7"/>
      <c r="H4" s="7"/>
    </row>
    <row r="5" customFormat="false" ht="15" hidden="false" customHeight="false" outlineLevel="0" collapsed="false">
      <c r="A5" s="6" t="s">
        <v>22</v>
      </c>
      <c r="B5" s="6" t="s">
        <v>155</v>
      </c>
      <c r="C5" s="6" t="s">
        <v>156</v>
      </c>
      <c r="D5" s="6" t="s">
        <v>152</v>
      </c>
      <c r="E5" s="6" t="s">
        <v>66</v>
      </c>
      <c r="F5" s="7"/>
      <c r="G5" s="7"/>
      <c r="H5" s="7"/>
    </row>
    <row r="6" customFormat="false" ht="15" hidden="false" customHeight="false" outlineLevel="0" collapsed="false">
      <c r="A6" s="6" t="s">
        <v>22</v>
      </c>
      <c r="B6" s="6" t="s">
        <v>157</v>
      </c>
      <c r="C6" s="6" t="s">
        <v>158</v>
      </c>
      <c r="D6" s="6" t="s">
        <v>152</v>
      </c>
      <c r="E6" s="6" t="s">
        <v>68</v>
      </c>
      <c r="F6" s="7"/>
      <c r="G6" s="7"/>
      <c r="H6" s="7"/>
    </row>
    <row r="7" customFormat="false" ht="15" hidden="false" customHeight="false" outlineLevel="0" collapsed="false">
      <c r="A7" s="6" t="s">
        <v>22</v>
      </c>
      <c r="B7" s="6" t="s">
        <v>159</v>
      </c>
      <c r="C7" s="6"/>
      <c r="D7" s="6" t="s">
        <v>154</v>
      </c>
      <c r="E7" s="6" t="s">
        <v>64</v>
      </c>
      <c r="F7" s="7"/>
      <c r="G7" s="7"/>
      <c r="H7" s="7"/>
    </row>
    <row r="8" customFormat="false" ht="15" hidden="false" customHeight="false" outlineLevel="0" collapsed="false">
      <c r="A8" s="6" t="s">
        <v>22</v>
      </c>
      <c r="B8" s="6" t="s">
        <v>160</v>
      </c>
      <c r="C8" s="6" t="s">
        <v>161</v>
      </c>
      <c r="D8" s="6" t="s">
        <v>152</v>
      </c>
      <c r="E8" s="6" t="s">
        <v>64</v>
      </c>
      <c r="F8" s="7"/>
      <c r="G8" s="7"/>
      <c r="H8" s="7"/>
    </row>
    <row r="9" customFormat="false" ht="15" hidden="false" customHeight="false" outlineLevel="0" collapsed="false">
      <c r="A9" s="6" t="s">
        <v>22</v>
      </c>
      <c r="B9" s="6" t="s">
        <v>162</v>
      </c>
      <c r="C9" s="6" t="s">
        <v>163</v>
      </c>
      <c r="D9" s="6" t="s">
        <v>152</v>
      </c>
      <c r="E9" s="6" t="s">
        <v>61</v>
      </c>
      <c r="F9" s="7"/>
      <c r="G9" s="7"/>
      <c r="H9" s="7"/>
    </row>
    <row r="10" customFormat="false" ht="15" hidden="false" customHeight="false" outlineLevel="0" collapsed="false">
      <c r="A10" s="6" t="s">
        <v>22</v>
      </c>
      <c r="B10" s="6" t="s">
        <v>164</v>
      </c>
      <c r="C10" s="6" t="s">
        <v>165</v>
      </c>
      <c r="D10" s="6" t="s">
        <v>166</v>
      </c>
      <c r="E10" s="6" t="s">
        <v>61</v>
      </c>
      <c r="F10" s="7"/>
      <c r="G10" s="7"/>
      <c r="H10" s="7"/>
    </row>
    <row r="11" customFormat="false" ht="15" hidden="false" customHeight="false" outlineLevel="0" collapsed="false">
      <c r="A11" s="6" t="s">
        <v>22</v>
      </c>
      <c r="B11" s="6" t="s">
        <v>167</v>
      </c>
      <c r="C11" s="6" t="s">
        <v>168</v>
      </c>
      <c r="D11" s="6" t="s">
        <v>152</v>
      </c>
      <c r="E11" s="6" t="s">
        <v>70</v>
      </c>
      <c r="F11" s="7"/>
      <c r="G11" s="7"/>
      <c r="H11" s="7"/>
    </row>
    <row r="12" customFormat="false" ht="15" hidden="false" customHeight="false" outlineLevel="0" collapsed="false">
      <c r="A12" s="6" t="s">
        <v>22</v>
      </c>
      <c r="B12" s="6" t="s">
        <v>169</v>
      </c>
      <c r="C12" s="6" t="s">
        <v>170</v>
      </c>
      <c r="D12" s="6" t="s">
        <v>171</v>
      </c>
      <c r="E12" s="6" t="s">
        <v>70</v>
      </c>
      <c r="F12" s="7"/>
      <c r="G12" s="7"/>
      <c r="H12" s="7"/>
    </row>
    <row r="13" customFormat="false" ht="15" hidden="false" customHeight="false" outlineLevel="0" collapsed="false">
      <c r="A13" s="6" t="s">
        <v>27</v>
      </c>
      <c r="B13" s="6" t="s">
        <v>172</v>
      </c>
      <c r="C13" s="6" t="s">
        <v>173</v>
      </c>
      <c r="D13" s="6" t="s">
        <v>174</v>
      </c>
      <c r="E13" s="6" t="s">
        <v>75</v>
      </c>
      <c r="F13" s="7"/>
      <c r="G13" s="7"/>
      <c r="H13" s="7"/>
    </row>
    <row r="14" customFormat="false" ht="15" hidden="false" customHeight="false" outlineLevel="0" collapsed="false">
      <c r="A14" s="6" t="s">
        <v>27</v>
      </c>
      <c r="B14" s="6" t="s">
        <v>175</v>
      </c>
      <c r="C14" s="6" t="s">
        <v>176</v>
      </c>
      <c r="D14" s="6" t="s">
        <v>152</v>
      </c>
      <c r="E14" s="6" t="s">
        <v>75</v>
      </c>
      <c r="F14" s="7"/>
      <c r="G14" s="7"/>
      <c r="H14" s="7"/>
    </row>
    <row r="15" customFormat="false" ht="15" hidden="false" customHeight="false" outlineLevel="0" collapsed="false">
      <c r="A15" s="6" t="s">
        <v>27</v>
      </c>
      <c r="B15" s="6" t="s">
        <v>177</v>
      </c>
      <c r="C15" s="6" t="s">
        <v>178</v>
      </c>
      <c r="D15" s="6" t="s">
        <v>152</v>
      </c>
      <c r="E15" s="6" t="s">
        <v>77</v>
      </c>
      <c r="F15" s="7"/>
      <c r="G15" s="7"/>
      <c r="H15" s="7"/>
    </row>
    <row r="16" customFormat="false" ht="15" hidden="false" customHeight="false" outlineLevel="0" collapsed="false">
      <c r="A16" s="6" t="s">
        <v>27</v>
      </c>
      <c r="B16" s="6" t="s">
        <v>179</v>
      </c>
      <c r="C16" s="6" t="s">
        <v>180</v>
      </c>
      <c r="D16" s="6" t="s">
        <v>166</v>
      </c>
      <c r="E16" s="6" t="s">
        <v>77</v>
      </c>
      <c r="F16" s="7"/>
      <c r="G16" s="7"/>
      <c r="H16" s="7"/>
    </row>
    <row r="17" customFormat="false" ht="15" hidden="false" customHeight="false" outlineLevel="0" collapsed="false">
      <c r="A17" s="6" t="s">
        <v>27</v>
      </c>
      <c r="B17" s="6" t="s">
        <v>181</v>
      </c>
      <c r="C17" s="6" t="s">
        <v>182</v>
      </c>
      <c r="D17" s="6" t="s">
        <v>171</v>
      </c>
      <c r="E17" s="6" t="s">
        <v>77</v>
      </c>
      <c r="F17" s="7"/>
      <c r="G17" s="7"/>
      <c r="H17" s="7"/>
    </row>
    <row r="18" customFormat="false" ht="15" hidden="false" customHeight="false" outlineLevel="0" collapsed="false">
      <c r="A18" s="6" t="s">
        <v>27</v>
      </c>
      <c r="B18" s="6" t="s">
        <v>183</v>
      </c>
      <c r="C18" s="6" t="s">
        <v>184</v>
      </c>
      <c r="D18" s="6" t="s">
        <v>152</v>
      </c>
      <c r="E18" s="6" t="s">
        <v>79</v>
      </c>
      <c r="F18" s="7"/>
      <c r="G18" s="7"/>
      <c r="H18" s="7"/>
    </row>
    <row r="19" customFormat="false" ht="15" hidden="false" customHeight="false" outlineLevel="0" collapsed="false">
      <c r="A19" s="6" t="s">
        <v>27</v>
      </c>
      <c r="B19" s="6" t="s">
        <v>185</v>
      </c>
      <c r="C19" s="6" t="s">
        <v>186</v>
      </c>
      <c r="D19" s="6" t="s">
        <v>152</v>
      </c>
      <c r="E19" s="6" t="s">
        <v>81</v>
      </c>
      <c r="F19" s="7"/>
      <c r="G19" s="7"/>
      <c r="H19" s="7"/>
    </row>
    <row r="20" customFormat="false" ht="15" hidden="false" customHeight="false" outlineLevel="0" collapsed="false">
      <c r="A20" s="6" t="s">
        <v>27</v>
      </c>
      <c r="B20" s="6" t="s">
        <v>187</v>
      </c>
      <c r="C20" s="6" t="s">
        <v>188</v>
      </c>
      <c r="D20" s="6" t="s">
        <v>152</v>
      </c>
      <c r="E20" s="6" t="s">
        <v>79</v>
      </c>
      <c r="F20" s="7"/>
      <c r="G20" s="7"/>
      <c r="H20" s="7"/>
    </row>
    <row r="21" customFormat="false" ht="15" hidden="false" customHeight="false" outlineLevel="0" collapsed="false">
      <c r="A21" s="6" t="s">
        <v>27</v>
      </c>
      <c r="B21" s="6" t="s">
        <v>189</v>
      </c>
      <c r="C21" s="6" t="s">
        <v>190</v>
      </c>
      <c r="D21" s="6" t="s">
        <v>191</v>
      </c>
      <c r="E21" s="6" t="s">
        <v>79</v>
      </c>
      <c r="F21" s="7"/>
      <c r="G21" s="7"/>
      <c r="H21" s="7"/>
    </row>
    <row r="22" customFormat="false" ht="15" hidden="false" customHeight="false" outlineLevel="0" collapsed="false">
      <c r="A22" s="6" t="s">
        <v>27</v>
      </c>
      <c r="B22" s="6" t="s">
        <v>192</v>
      </c>
      <c r="C22" s="6" t="s">
        <v>193</v>
      </c>
      <c r="D22" s="6" t="s">
        <v>152</v>
      </c>
      <c r="E22" s="6" t="s">
        <v>68</v>
      </c>
      <c r="F22" s="7"/>
      <c r="G22" s="7"/>
      <c r="H22" s="7"/>
    </row>
    <row r="23" customFormat="false" ht="15" hidden="false" customHeight="false" outlineLevel="0" collapsed="false">
      <c r="A23" s="6" t="s">
        <v>27</v>
      </c>
      <c r="B23" s="6" t="s">
        <v>194</v>
      </c>
      <c r="C23" s="6" t="s">
        <v>195</v>
      </c>
      <c r="D23" s="6" t="s">
        <v>152</v>
      </c>
      <c r="E23" s="6" t="s">
        <v>68</v>
      </c>
      <c r="F23" s="7"/>
      <c r="G23" s="7"/>
      <c r="H23" s="7"/>
    </row>
    <row r="24" customFormat="false" ht="15" hidden="false" customHeight="false" outlineLevel="0" collapsed="false">
      <c r="A24" s="6" t="s">
        <v>27</v>
      </c>
      <c r="B24" s="6" t="s">
        <v>196</v>
      </c>
      <c r="C24" s="6" t="s">
        <v>197</v>
      </c>
      <c r="D24" s="6" t="s">
        <v>152</v>
      </c>
      <c r="E24" s="6" t="s">
        <v>84</v>
      </c>
      <c r="F24" s="7"/>
      <c r="G24" s="7"/>
      <c r="H24" s="7"/>
    </row>
    <row r="25" customFormat="false" ht="15" hidden="false" customHeight="false" outlineLevel="0" collapsed="false">
      <c r="A25" s="6" t="s">
        <v>27</v>
      </c>
      <c r="B25" s="6" t="s">
        <v>198</v>
      </c>
      <c r="C25" s="6" t="s">
        <v>199</v>
      </c>
      <c r="D25" s="6" t="s">
        <v>171</v>
      </c>
      <c r="E25" s="6" t="s">
        <v>84</v>
      </c>
      <c r="F25" s="7"/>
      <c r="G25" s="7"/>
      <c r="H25" s="7"/>
    </row>
    <row r="26" customFormat="false" ht="15" hidden="false" customHeight="false" outlineLevel="0" collapsed="false">
      <c r="A26" s="6" t="s">
        <v>32</v>
      </c>
      <c r="B26" s="6" t="s">
        <v>200</v>
      </c>
      <c r="C26" s="6" t="s">
        <v>201</v>
      </c>
      <c r="D26" s="6" t="s">
        <v>202</v>
      </c>
      <c r="E26" s="6" t="s">
        <v>90</v>
      </c>
      <c r="F26" s="7"/>
      <c r="G26" s="7"/>
      <c r="H26" s="7"/>
    </row>
    <row r="27" customFormat="false" ht="15" hidden="false" customHeight="false" outlineLevel="0" collapsed="false">
      <c r="A27" s="6" t="s">
        <v>32</v>
      </c>
      <c r="B27" s="6" t="s">
        <v>203</v>
      </c>
      <c r="C27" s="6" t="s">
        <v>204</v>
      </c>
      <c r="D27" s="6" t="s">
        <v>152</v>
      </c>
      <c r="E27" s="6" t="s">
        <v>90</v>
      </c>
      <c r="F27" s="7"/>
      <c r="G27" s="7"/>
      <c r="H27" s="7"/>
    </row>
    <row r="28" customFormat="false" ht="15" hidden="false" customHeight="false" outlineLevel="0" collapsed="false">
      <c r="A28" s="6" t="s">
        <v>32</v>
      </c>
      <c r="B28" s="6" t="s">
        <v>205</v>
      </c>
      <c r="C28" s="6" t="s">
        <v>206</v>
      </c>
      <c r="D28" s="6" t="s">
        <v>166</v>
      </c>
      <c r="E28" s="6" t="s">
        <v>90</v>
      </c>
      <c r="F28" s="7"/>
      <c r="G28" s="7"/>
      <c r="H28" s="7"/>
    </row>
    <row r="29" customFormat="false" ht="15" hidden="false" customHeight="false" outlineLevel="0" collapsed="false">
      <c r="A29" s="6" t="s">
        <v>32</v>
      </c>
      <c r="B29" s="6" t="s">
        <v>207</v>
      </c>
      <c r="C29" s="6" t="s">
        <v>208</v>
      </c>
      <c r="D29" s="6" t="s">
        <v>152</v>
      </c>
      <c r="E29" s="6" t="s">
        <v>84</v>
      </c>
      <c r="F29" s="7"/>
      <c r="G29" s="7"/>
      <c r="H29" s="7"/>
    </row>
    <row r="30" customFormat="false" ht="15" hidden="false" customHeight="false" outlineLevel="0" collapsed="false">
      <c r="A30" s="6" t="s">
        <v>32</v>
      </c>
      <c r="B30" s="6" t="s">
        <v>209</v>
      </c>
      <c r="C30" s="6" t="s">
        <v>210</v>
      </c>
      <c r="D30" s="6" t="s">
        <v>191</v>
      </c>
      <c r="E30" s="6" t="s">
        <v>93</v>
      </c>
      <c r="F30" s="7"/>
      <c r="G30" s="7"/>
      <c r="H30" s="7"/>
    </row>
    <row r="31" customFormat="false" ht="15" hidden="false" customHeight="false" outlineLevel="0" collapsed="false">
      <c r="A31" s="6" t="s">
        <v>32</v>
      </c>
      <c r="B31" s="6" t="s">
        <v>211</v>
      </c>
      <c r="C31" s="6" t="s">
        <v>212</v>
      </c>
      <c r="D31" s="6" t="s">
        <v>152</v>
      </c>
      <c r="E31" s="6" t="s">
        <v>93</v>
      </c>
      <c r="F31" s="7"/>
      <c r="G31" s="7"/>
      <c r="H31" s="7"/>
    </row>
    <row r="32" customFormat="false" ht="15" hidden="false" customHeight="false" outlineLevel="0" collapsed="false">
      <c r="A32" s="6" t="s">
        <v>32</v>
      </c>
      <c r="B32" s="6" t="s">
        <v>213</v>
      </c>
      <c r="C32" s="6" t="s">
        <v>214</v>
      </c>
      <c r="D32" s="6" t="s">
        <v>152</v>
      </c>
      <c r="E32" s="6" t="s">
        <v>84</v>
      </c>
      <c r="F32" s="7"/>
      <c r="G32" s="7"/>
      <c r="H32" s="7"/>
    </row>
    <row r="33" customFormat="false" ht="15" hidden="false" customHeight="false" outlineLevel="0" collapsed="false">
      <c r="A33" s="6" t="s">
        <v>32</v>
      </c>
      <c r="B33" s="6" t="s">
        <v>215</v>
      </c>
      <c r="C33" s="6" t="s">
        <v>216</v>
      </c>
      <c r="D33" s="6" t="s">
        <v>152</v>
      </c>
      <c r="E33" s="6" t="s">
        <v>95</v>
      </c>
      <c r="F33" s="7"/>
      <c r="G33" s="7"/>
      <c r="H33" s="7"/>
    </row>
    <row r="34" customFormat="false" ht="15" hidden="false" customHeight="false" outlineLevel="0" collapsed="false">
      <c r="A34" s="6" t="s">
        <v>32</v>
      </c>
      <c r="B34" s="6" t="s">
        <v>217</v>
      </c>
      <c r="C34" s="6" t="s">
        <v>218</v>
      </c>
      <c r="D34" s="6" t="s">
        <v>166</v>
      </c>
      <c r="E34" s="6" t="s">
        <v>95</v>
      </c>
      <c r="F34" s="7"/>
      <c r="G34" s="7"/>
      <c r="H34" s="7"/>
    </row>
    <row r="35" customFormat="false" ht="15" hidden="false" customHeight="false" outlineLevel="0" collapsed="false">
      <c r="A35" s="6" t="s">
        <v>32</v>
      </c>
      <c r="B35" s="6" t="s">
        <v>219</v>
      </c>
      <c r="C35" s="6" t="s">
        <v>220</v>
      </c>
      <c r="D35" s="6" t="s">
        <v>152</v>
      </c>
      <c r="E35" s="6" t="s">
        <v>84</v>
      </c>
      <c r="F35" s="7"/>
      <c r="G35" s="7"/>
      <c r="H35" s="7"/>
    </row>
    <row r="36" customFormat="false" ht="15" hidden="false" customHeight="false" outlineLevel="0" collapsed="false">
      <c r="A36" s="6" t="s">
        <v>32</v>
      </c>
      <c r="B36" s="6" t="s">
        <v>221</v>
      </c>
      <c r="C36" s="6" t="s">
        <v>222</v>
      </c>
      <c r="D36" s="6" t="s">
        <v>152</v>
      </c>
      <c r="E36" s="6" t="s">
        <v>97</v>
      </c>
      <c r="F36" s="7"/>
      <c r="G36" s="7"/>
      <c r="H36" s="7"/>
    </row>
    <row r="37" customFormat="false" ht="15" hidden="false" customHeight="false" outlineLevel="0" collapsed="false">
      <c r="A37" s="6" t="s">
        <v>32</v>
      </c>
      <c r="B37" s="6" t="s">
        <v>223</v>
      </c>
      <c r="C37" s="6" t="s">
        <v>224</v>
      </c>
      <c r="D37" s="6" t="s">
        <v>152</v>
      </c>
      <c r="E37" s="6" t="s">
        <v>97</v>
      </c>
      <c r="F37" s="7"/>
      <c r="G37" s="7"/>
      <c r="H37" s="7"/>
    </row>
    <row r="38" customFormat="false" ht="15" hidden="false" customHeight="false" outlineLevel="0" collapsed="false">
      <c r="A38" s="6" t="s">
        <v>32</v>
      </c>
      <c r="B38" s="6" t="s">
        <v>225</v>
      </c>
      <c r="C38" s="6" t="s">
        <v>226</v>
      </c>
      <c r="D38" s="6" t="s">
        <v>152</v>
      </c>
      <c r="E38" s="6" t="s">
        <v>84</v>
      </c>
      <c r="F38" s="7"/>
      <c r="G38" s="7"/>
      <c r="H38" s="7"/>
    </row>
    <row r="39" customFormat="false" ht="15" hidden="false" customHeight="false" outlineLevel="0" collapsed="false">
      <c r="A39" s="6" t="s">
        <v>32</v>
      </c>
      <c r="B39" s="6" t="s">
        <v>227</v>
      </c>
      <c r="C39" s="6" t="s">
        <v>228</v>
      </c>
      <c r="D39" s="6" t="s">
        <v>171</v>
      </c>
      <c r="E39" s="6" t="s">
        <v>84</v>
      </c>
      <c r="F39" s="7"/>
      <c r="G39" s="7"/>
      <c r="H39" s="7"/>
    </row>
    <row r="40" customFormat="false" ht="15" hidden="false" customHeight="false" outlineLevel="0" collapsed="false">
      <c r="A40" s="6" t="s">
        <v>37</v>
      </c>
      <c r="B40" s="6" t="s">
        <v>229</v>
      </c>
      <c r="C40" s="6" t="s">
        <v>230</v>
      </c>
      <c r="D40" s="6" t="s">
        <v>149</v>
      </c>
      <c r="E40" s="6" t="s">
        <v>95</v>
      </c>
      <c r="F40" s="7"/>
      <c r="G40" s="7"/>
      <c r="H40" s="7"/>
    </row>
    <row r="41" customFormat="false" ht="15" hidden="false" customHeight="false" outlineLevel="0" collapsed="false">
      <c r="A41" s="6" t="s">
        <v>37</v>
      </c>
      <c r="B41" s="6" t="s">
        <v>231</v>
      </c>
      <c r="C41" s="6" t="s">
        <v>232</v>
      </c>
      <c r="D41" s="6" t="s">
        <v>152</v>
      </c>
      <c r="E41" s="6" t="s">
        <v>95</v>
      </c>
      <c r="F41" s="7"/>
      <c r="G41" s="7"/>
      <c r="H41" s="7"/>
    </row>
    <row r="42" customFormat="false" ht="15" hidden="false" customHeight="false" outlineLevel="0" collapsed="false">
      <c r="A42" s="6" t="s">
        <v>37</v>
      </c>
      <c r="B42" s="6" t="s">
        <v>233</v>
      </c>
      <c r="C42" s="6"/>
      <c r="D42" s="6" t="s">
        <v>234</v>
      </c>
      <c r="E42" s="6" t="s">
        <v>95</v>
      </c>
      <c r="F42" s="7"/>
      <c r="G42" s="7"/>
      <c r="H42" s="7"/>
    </row>
    <row r="43" customFormat="false" ht="15" hidden="false" customHeight="false" outlineLevel="0" collapsed="false">
      <c r="A43" s="6" t="s">
        <v>37</v>
      </c>
      <c r="B43" s="6" t="s">
        <v>235</v>
      </c>
      <c r="C43" s="6" t="s">
        <v>236</v>
      </c>
      <c r="D43" s="6" t="s">
        <v>191</v>
      </c>
      <c r="E43" s="6" t="s">
        <v>93</v>
      </c>
      <c r="F43" s="7"/>
      <c r="G43" s="7"/>
      <c r="H43" s="7"/>
    </row>
    <row r="44" customFormat="false" ht="15" hidden="false" customHeight="false" outlineLevel="0" collapsed="false">
      <c r="A44" s="6" t="s">
        <v>37</v>
      </c>
      <c r="B44" s="6" t="s">
        <v>237</v>
      </c>
      <c r="C44" s="6" t="s">
        <v>238</v>
      </c>
      <c r="D44" s="6" t="s">
        <v>152</v>
      </c>
      <c r="E44" s="6" t="s">
        <v>93</v>
      </c>
      <c r="F44" s="7"/>
      <c r="G44" s="7"/>
      <c r="H44" s="7"/>
    </row>
    <row r="45" customFormat="false" ht="15" hidden="false" customHeight="false" outlineLevel="0" collapsed="false">
      <c r="A45" s="6" t="s">
        <v>37</v>
      </c>
      <c r="B45" s="6" t="s">
        <v>239</v>
      </c>
      <c r="C45" s="6" t="s">
        <v>240</v>
      </c>
      <c r="D45" s="6" t="s">
        <v>171</v>
      </c>
      <c r="E45" s="6" t="s">
        <v>93</v>
      </c>
      <c r="F45" s="7"/>
      <c r="G45" s="7"/>
      <c r="H45" s="7"/>
    </row>
    <row r="46" customFormat="false" ht="15" hidden="false" customHeight="false" outlineLevel="0" collapsed="false">
      <c r="A46" s="6" t="s">
        <v>37</v>
      </c>
      <c r="B46" s="6" t="s">
        <v>241</v>
      </c>
      <c r="C46" s="6" t="s">
        <v>242</v>
      </c>
      <c r="D46" s="6" t="s">
        <v>243</v>
      </c>
      <c r="E46" s="6" t="s">
        <v>95</v>
      </c>
      <c r="F46" s="7"/>
      <c r="G46" s="7"/>
      <c r="H46" s="7"/>
    </row>
    <row r="47" customFormat="false" ht="15" hidden="false" customHeight="false" outlineLevel="0" collapsed="false">
      <c r="A47" s="6" t="s">
        <v>37</v>
      </c>
      <c r="B47" s="6" t="s">
        <v>244</v>
      </c>
      <c r="C47" s="6" t="s">
        <v>245</v>
      </c>
      <c r="D47" s="6" t="s">
        <v>152</v>
      </c>
      <c r="E47" s="6" t="s">
        <v>95</v>
      </c>
      <c r="F47" s="7"/>
      <c r="G47" s="7"/>
      <c r="H47" s="7"/>
    </row>
    <row r="48" customFormat="false" ht="15" hidden="false" customHeight="false" outlineLevel="0" collapsed="false">
      <c r="A48" s="6" t="s">
        <v>37</v>
      </c>
      <c r="B48" s="6" t="s">
        <v>246</v>
      </c>
      <c r="C48" s="6" t="s">
        <v>247</v>
      </c>
      <c r="D48" s="6" t="s">
        <v>166</v>
      </c>
      <c r="E48" s="6" t="s">
        <v>95</v>
      </c>
      <c r="F48" s="7"/>
      <c r="G48" s="7"/>
      <c r="H48" s="7"/>
    </row>
    <row r="49" customFormat="false" ht="15" hidden="false" customHeight="false" outlineLevel="0" collapsed="false">
      <c r="A49" s="6" t="s">
        <v>37</v>
      </c>
      <c r="B49" s="6" t="s">
        <v>248</v>
      </c>
      <c r="C49" s="6" t="s">
        <v>249</v>
      </c>
      <c r="D49" s="6" t="s">
        <v>152</v>
      </c>
      <c r="E49" s="6" t="s">
        <v>101</v>
      </c>
      <c r="F49" s="7"/>
      <c r="G49" s="7"/>
      <c r="H49" s="7"/>
    </row>
    <row r="50" customFormat="false" ht="15" hidden="false" customHeight="false" outlineLevel="0" collapsed="false">
      <c r="A50" s="6" t="s">
        <v>37</v>
      </c>
      <c r="B50" s="6" t="s">
        <v>250</v>
      </c>
      <c r="C50" s="6" t="s">
        <v>251</v>
      </c>
      <c r="D50" s="6" t="s">
        <v>152</v>
      </c>
      <c r="E50" s="6" t="s">
        <v>103</v>
      </c>
      <c r="F50" s="7"/>
      <c r="G50" s="7"/>
      <c r="H50" s="7"/>
    </row>
    <row r="51" customFormat="false" ht="23.85" hidden="false" customHeight="false" outlineLevel="0" collapsed="false">
      <c r="A51" s="6" t="s">
        <v>37</v>
      </c>
      <c r="B51" s="6" t="s">
        <v>252</v>
      </c>
      <c r="C51" s="6" t="s">
        <v>253</v>
      </c>
      <c r="D51" s="6" t="s">
        <v>152</v>
      </c>
      <c r="E51" s="6" t="s">
        <v>93</v>
      </c>
      <c r="F51" s="7"/>
      <c r="G51" s="7"/>
      <c r="H51" s="7"/>
    </row>
    <row r="52" customFormat="false" ht="15" hidden="false" customHeight="false" outlineLevel="0" collapsed="false">
      <c r="A52" s="6" t="s">
        <v>37</v>
      </c>
      <c r="B52" s="6" t="s">
        <v>254</v>
      </c>
      <c r="C52" s="6" t="s">
        <v>255</v>
      </c>
      <c r="D52" s="6" t="s">
        <v>152</v>
      </c>
      <c r="E52" s="6" t="s">
        <v>105</v>
      </c>
      <c r="F52" s="7"/>
      <c r="G52" s="7"/>
      <c r="H52" s="7"/>
    </row>
    <row r="53" customFormat="false" ht="15" hidden="false" customHeight="false" outlineLevel="0" collapsed="false">
      <c r="A53" s="6" t="s">
        <v>37</v>
      </c>
      <c r="B53" s="6" t="s">
        <v>256</v>
      </c>
      <c r="C53" s="6" t="s">
        <v>257</v>
      </c>
      <c r="D53" s="6" t="s">
        <v>171</v>
      </c>
      <c r="E53" s="6" t="s">
        <v>105</v>
      </c>
      <c r="F53" s="7"/>
      <c r="G53" s="7"/>
      <c r="H53" s="7"/>
    </row>
    <row r="54" customFormat="false" ht="15" hidden="false" customHeight="false" outlineLevel="0" collapsed="false">
      <c r="A54" s="6" t="s">
        <v>42</v>
      </c>
      <c r="B54" s="6" t="s">
        <v>258</v>
      </c>
      <c r="C54" s="6" t="s">
        <v>259</v>
      </c>
      <c r="D54" s="6" t="s">
        <v>260</v>
      </c>
      <c r="E54" s="6" t="s">
        <v>95</v>
      </c>
      <c r="F54" s="7"/>
      <c r="G54" s="7"/>
      <c r="H54" s="7"/>
    </row>
    <row r="55" customFormat="false" ht="15" hidden="false" customHeight="false" outlineLevel="0" collapsed="false">
      <c r="A55" s="6" t="s">
        <v>42</v>
      </c>
      <c r="B55" s="6" t="s">
        <v>261</v>
      </c>
      <c r="C55" s="6" t="s">
        <v>262</v>
      </c>
      <c r="D55" s="6" t="s">
        <v>166</v>
      </c>
      <c r="E55" s="6" t="s">
        <v>110</v>
      </c>
      <c r="F55" s="7"/>
      <c r="G55" s="7"/>
      <c r="H55" s="7"/>
    </row>
    <row r="56" customFormat="false" ht="15" hidden="false" customHeight="false" outlineLevel="0" collapsed="false">
      <c r="A56" s="6" t="s">
        <v>42</v>
      </c>
      <c r="B56" s="6" t="s">
        <v>263</v>
      </c>
      <c r="C56" s="6" t="s">
        <v>264</v>
      </c>
      <c r="D56" s="6" t="s">
        <v>152</v>
      </c>
      <c r="E56" s="6" t="s">
        <v>110</v>
      </c>
      <c r="F56" s="7"/>
      <c r="G56" s="7"/>
      <c r="H56" s="7"/>
    </row>
    <row r="57" customFormat="false" ht="15" hidden="false" customHeight="false" outlineLevel="0" collapsed="false">
      <c r="A57" s="6" t="s">
        <v>42</v>
      </c>
      <c r="B57" s="6" t="s">
        <v>265</v>
      </c>
      <c r="C57" s="6" t="s">
        <v>266</v>
      </c>
      <c r="D57" s="6" t="s">
        <v>152</v>
      </c>
      <c r="E57" s="6" t="s">
        <v>110</v>
      </c>
      <c r="F57" s="7"/>
      <c r="G57" s="7"/>
      <c r="H57" s="7"/>
    </row>
    <row r="58" customFormat="false" ht="15" hidden="false" customHeight="false" outlineLevel="0" collapsed="false">
      <c r="A58" s="6" t="s">
        <v>42</v>
      </c>
      <c r="B58" s="6" t="s">
        <v>267</v>
      </c>
      <c r="C58" s="6" t="s">
        <v>268</v>
      </c>
      <c r="D58" s="6" t="s">
        <v>191</v>
      </c>
      <c r="E58" s="6" t="s">
        <v>110</v>
      </c>
      <c r="F58" s="7"/>
      <c r="G58" s="7"/>
      <c r="H58" s="7"/>
    </row>
    <row r="59" customFormat="false" ht="15" hidden="false" customHeight="false" outlineLevel="0" collapsed="false">
      <c r="A59" s="6" t="s">
        <v>42</v>
      </c>
      <c r="B59" s="6" t="s">
        <v>269</v>
      </c>
      <c r="C59" s="6" t="s">
        <v>270</v>
      </c>
      <c r="D59" s="6" t="s">
        <v>166</v>
      </c>
      <c r="E59" s="6" t="s">
        <v>110</v>
      </c>
      <c r="F59" s="7"/>
      <c r="G59" s="7"/>
      <c r="H59" s="7"/>
    </row>
    <row r="60" customFormat="false" ht="23.85" hidden="false" customHeight="false" outlineLevel="0" collapsed="false">
      <c r="A60" s="6" t="s">
        <v>42</v>
      </c>
      <c r="B60" s="6" t="s">
        <v>271</v>
      </c>
      <c r="C60" s="6" t="s">
        <v>272</v>
      </c>
      <c r="D60" s="6" t="s">
        <v>152</v>
      </c>
      <c r="E60" s="6" t="s">
        <v>95</v>
      </c>
      <c r="F60" s="7"/>
      <c r="G60" s="7"/>
      <c r="H60" s="7"/>
    </row>
    <row r="61" customFormat="false" ht="15" hidden="false" customHeight="false" outlineLevel="0" collapsed="false">
      <c r="A61" s="6" t="s">
        <v>42</v>
      </c>
      <c r="B61" s="6" t="s">
        <v>273</v>
      </c>
      <c r="C61" s="6" t="s">
        <v>274</v>
      </c>
      <c r="D61" s="6" t="s">
        <v>171</v>
      </c>
      <c r="E61" s="6" t="s">
        <v>95</v>
      </c>
      <c r="F61" s="7"/>
      <c r="G61" s="7"/>
      <c r="H61" s="7"/>
    </row>
    <row r="62" customFormat="false" ht="15" hidden="false" customHeight="false" outlineLevel="0" collapsed="false">
      <c r="A62" s="6" t="s">
        <v>42</v>
      </c>
      <c r="B62" s="6" t="s">
        <v>275</v>
      </c>
      <c r="C62" s="6" t="s">
        <v>276</v>
      </c>
      <c r="D62" s="6" t="s">
        <v>152</v>
      </c>
      <c r="E62" s="6" t="s">
        <v>113</v>
      </c>
      <c r="F62" s="7"/>
      <c r="G62" s="7"/>
      <c r="H62" s="7"/>
    </row>
    <row r="63" customFormat="false" ht="15" hidden="false" customHeight="false" outlineLevel="0" collapsed="false">
      <c r="A63" s="6" t="s">
        <v>42</v>
      </c>
      <c r="B63" s="6" t="s">
        <v>277</v>
      </c>
      <c r="C63" s="6" t="s">
        <v>278</v>
      </c>
      <c r="D63" s="6" t="s">
        <v>191</v>
      </c>
      <c r="E63" s="6" t="s">
        <v>93</v>
      </c>
      <c r="F63" s="7"/>
      <c r="G63" s="7"/>
      <c r="H63" s="7"/>
    </row>
    <row r="64" customFormat="false" ht="15" hidden="false" customHeight="false" outlineLevel="0" collapsed="false">
      <c r="A64" s="6" t="s">
        <v>42</v>
      </c>
      <c r="B64" s="6" t="s">
        <v>279</v>
      </c>
      <c r="C64" s="6" t="s">
        <v>280</v>
      </c>
      <c r="D64" s="6" t="s">
        <v>152</v>
      </c>
      <c r="E64" s="6" t="s">
        <v>93</v>
      </c>
      <c r="F64" s="7"/>
      <c r="G64" s="7"/>
      <c r="H64" s="7"/>
    </row>
    <row r="65" customFormat="false" ht="15" hidden="false" customHeight="false" outlineLevel="0" collapsed="false">
      <c r="A65" s="6" t="s">
        <v>42</v>
      </c>
      <c r="B65" s="6" t="s">
        <v>281</v>
      </c>
      <c r="C65" s="6" t="s">
        <v>282</v>
      </c>
      <c r="D65" s="6" t="s">
        <v>171</v>
      </c>
      <c r="E65" s="6" t="s">
        <v>93</v>
      </c>
      <c r="F65" s="7"/>
      <c r="G65" s="7"/>
      <c r="H65" s="7"/>
    </row>
    <row r="66" customFormat="false" ht="15" hidden="false" customHeight="false" outlineLevel="0" collapsed="false">
      <c r="A66" s="6" t="s">
        <v>42</v>
      </c>
      <c r="B66" s="6" t="s">
        <v>283</v>
      </c>
      <c r="C66" s="6" t="s">
        <v>284</v>
      </c>
      <c r="D66" s="6" t="s">
        <v>152</v>
      </c>
      <c r="E66" s="6" t="s">
        <v>95</v>
      </c>
      <c r="F66" s="7"/>
      <c r="G66" s="7"/>
      <c r="H66" s="7"/>
    </row>
    <row r="67" customFormat="false" ht="15" hidden="false" customHeight="false" outlineLevel="0" collapsed="false">
      <c r="A67" s="6" t="s">
        <v>42</v>
      </c>
      <c r="B67" s="6" t="s">
        <v>285</v>
      </c>
      <c r="C67" s="6" t="s">
        <v>286</v>
      </c>
      <c r="D67" s="6" t="s">
        <v>152</v>
      </c>
      <c r="E67" s="6" t="s">
        <v>95</v>
      </c>
      <c r="F67" s="7"/>
      <c r="G67" s="7"/>
      <c r="H67" s="7"/>
    </row>
    <row r="68" customFormat="false" ht="15" hidden="false" customHeight="false" outlineLevel="0" collapsed="false">
      <c r="A68" s="6" t="s">
        <v>42</v>
      </c>
      <c r="B68" s="6" t="s">
        <v>287</v>
      </c>
      <c r="C68" s="6" t="s">
        <v>288</v>
      </c>
      <c r="D68" s="6" t="s">
        <v>171</v>
      </c>
      <c r="E68" s="6" t="s">
        <v>95</v>
      </c>
      <c r="F68" s="7"/>
      <c r="G68" s="7"/>
      <c r="H68" s="7"/>
    </row>
    <row r="69" customFormat="false" ht="15" hidden="false" customHeight="false" outlineLevel="0" collapsed="false">
      <c r="A69" s="6" t="s">
        <v>47</v>
      </c>
      <c r="B69" s="6" t="s">
        <v>289</v>
      </c>
      <c r="C69" s="6" t="s">
        <v>290</v>
      </c>
      <c r="D69" s="6" t="s">
        <v>174</v>
      </c>
      <c r="E69" s="6" t="s">
        <v>119</v>
      </c>
      <c r="F69" s="7"/>
      <c r="G69" s="7"/>
      <c r="H69" s="7"/>
    </row>
    <row r="70" customFormat="false" ht="15" hidden="false" customHeight="false" outlineLevel="0" collapsed="false">
      <c r="A70" s="6" t="s">
        <v>47</v>
      </c>
      <c r="B70" s="6" t="s">
        <v>291</v>
      </c>
      <c r="C70" s="6" t="s">
        <v>292</v>
      </c>
      <c r="D70" s="6" t="s">
        <v>152</v>
      </c>
      <c r="E70" s="6" t="s">
        <v>119</v>
      </c>
      <c r="F70" s="7"/>
      <c r="G70" s="7"/>
      <c r="H70" s="7"/>
    </row>
    <row r="71" customFormat="false" ht="15" hidden="false" customHeight="false" outlineLevel="0" collapsed="false">
      <c r="A71" s="6" t="s">
        <v>47</v>
      </c>
      <c r="B71" s="6" t="s">
        <v>293</v>
      </c>
      <c r="C71" s="6" t="s">
        <v>294</v>
      </c>
      <c r="D71" s="6" t="s">
        <v>166</v>
      </c>
      <c r="E71" s="6" t="s">
        <v>121</v>
      </c>
      <c r="F71" s="7"/>
      <c r="G71" s="7"/>
      <c r="H71" s="7"/>
    </row>
    <row r="72" customFormat="false" ht="15" hidden="false" customHeight="false" outlineLevel="0" collapsed="false">
      <c r="A72" s="6" t="s">
        <v>47</v>
      </c>
      <c r="B72" s="6" t="s">
        <v>295</v>
      </c>
      <c r="C72" s="6" t="s">
        <v>296</v>
      </c>
      <c r="D72" s="6" t="s">
        <v>152</v>
      </c>
      <c r="E72" s="6" t="s">
        <v>121</v>
      </c>
      <c r="F72" s="7"/>
      <c r="G72" s="7"/>
      <c r="H72" s="7"/>
    </row>
    <row r="73" customFormat="false" ht="15" hidden="false" customHeight="false" outlineLevel="0" collapsed="false">
      <c r="A73" s="6" t="s">
        <v>47</v>
      </c>
      <c r="B73" s="6" t="s">
        <v>297</v>
      </c>
      <c r="C73" s="6" t="s">
        <v>298</v>
      </c>
      <c r="D73" s="6" t="s">
        <v>152</v>
      </c>
      <c r="E73" s="6" t="s">
        <v>123</v>
      </c>
      <c r="F73" s="7"/>
      <c r="G73" s="7"/>
      <c r="H73" s="7"/>
    </row>
    <row r="74" customFormat="false" ht="15" hidden="false" customHeight="false" outlineLevel="0" collapsed="false">
      <c r="A74" s="6" t="s">
        <v>47</v>
      </c>
      <c r="B74" s="6" t="s">
        <v>299</v>
      </c>
      <c r="C74" s="6" t="s">
        <v>300</v>
      </c>
      <c r="D74" s="6" t="s">
        <v>191</v>
      </c>
      <c r="E74" s="6" t="s">
        <v>119</v>
      </c>
      <c r="F74" s="7"/>
      <c r="G74" s="7"/>
      <c r="H74" s="7"/>
    </row>
    <row r="75" customFormat="false" ht="15" hidden="false" customHeight="false" outlineLevel="0" collapsed="false">
      <c r="A75" s="6" t="s">
        <v>47</v>
      </c>
      <c r="B75" s="6" t="s">
        <v>301</v>
      </c>
      <c r="C75" s="6" t="s">
        <v>302</v>
      </c>
      <c r="D75" s="6" t="s">
        <v>152</v>
      </c>
      <c r="E75" s="6" t="s">
        <v>125</v>
      </c>
      <c r="F75" s="7"/>
      <c r="G75" s="7"/>
      <c r="H75" s="7"/>
    </row>
    <row r="76" customFormat="false" ht="15" hidden="false" customHeight="false" outlineLevel="0" collapsed="false">
      <c r="A76" s="6" t="s">
        <v>47</v>
      </c>
      <c r="B76" s="6" t="s">
        <v>303</v>
      </c>
      <c r="C76" s="6" t="s">
        <v>304</v>
      </c>
      <c r="D76" s="6" t="s">
        <v>191</v>
      </c>
      <c r="E76" s="6" t="s">
        <v>127</v>
      </c>
      <c r="F76" s="7"/>
      <c r="G76" s="7"/>
      <c r="H76" s="7"/>
    </row>
    <row r="77" customFormat="false" ht="15" hidden="false" customHeight="false" outlineLevel="0" collapsed="false">
      <c r="A77" s="6" t="s">
        <v>47</v>
      </c>
      <c r="B77" s="6" t="s">
        <v>305</v>
      </c>
      <c r="C77" s="6" t="s">
        <v>306</v>
      </c>
      <c r="D77" s="6" t="s">
        <v>152</v>
      </c>
      <c r="E77" s="6" t="s">
        <v>127</v>
      </c>
      <c r="F77" s="7"/>
      <c r="G77" s="7"/>
      <c r="H77" s="7"/>
    </row>
    <row r="78" customFormat="false" ht="15" hidden="false" customHeight="false" outlineLevel="0" collapsed="false">
      <c r="A78" s="6" t="s">
        <v>47</v>
      </c>
      <c r="B78" s="6" t="s">
        <v>307</v>
      </c>
      <c r="C78" s="6" t="s">
        <v>308</v>
      </c>
      <c r="D78" s="6" t="s">
        <v>152</v>
      </c>
      <c r="E78" s="6" t="s">
        <v>121</v>
      </c>
      <c r="F78" s="7"/>
      <c r="G78" s="7"/>
      <c r="H78" s="7"/>
    </row>
    <row r="79" customFormat="false" ht="15" hidden="false" customHeight="false" outlineLevel="0" collapsed="false">
      <c r="A79" s="6" t="s">
        <v>47</v>
      </c>
      <c r="B79" s="6" t="s">
        <v>309</v>
      </c>
      <c r="C79" s="6" t="s">
        <v>310</v>
      </c>
      <c r="D79" s="6" t="s">
        <v>152</v>
      </c>
      <c r="E79" s="6" t="s">
        <v>129</v>
      </c>
      <c r="F79" s="7"/>
      <c r="G79" s="7"/>
      <c r="H79" s="7"/>
    </row>
    <row r="80" customFormat="false" ht="15" hidden="false" customHeight="false" outlineLevel="0" collapsed="false">
      <c r="A80" s="6" t="s">
        <v>47</v>
      </c>
      <c r="B80" s="6" t="s">
        <v>311</v>
      </c>
      <c r="C80" s="6" t="s">
        <v>312</v>
      </c>
      <c r="D80" s="6" t="s">
        <v>171</v>
      </c>
      <c r="E80" s="6" t="s">
        <v>129</v>
      </c>
      <c r="F80" s="7"/>
      <c r="G80" s="7"/>
      <c r="H80" s="7"/>
    </row>
    <row r="81" customFormat="false" ht="15" hidden="false" customHeight="false" outlineLevel="0" collapsed="false">
      <c r="A81" s="6" t="s">
        <v>52</v>
      </c>
      <c r="B81" s="6" t="s">
        <v>313</v>
      </c>
      <c r="C81" s="6" t="s">
        <v>314</v>
      </c>
      <c r="D81" s="6" t="s">
        <v>174</v>
      </c>
      <c r="E81" s="6" t="s">
        <v>132</v>
      </c>
      <c r="F81" s="7"/>
      <c r="G81" s="7"/>
      <c r="H81" s="7"/>
    </row>
    <row r="82" customFormat="false" ht="15" hidden="false" customHeight="false" outlineLevel="0" collapsed="false">
      <c r="A82" s="6" t="s">
        <v>52</v>
      </c>
      <c r="B82" s="6" t="s">
        <v>315</v>
      </c>
      <c r="C82" s="6" t="s">
        <v>316</v>
      </c>
      <c r="D82" s="6" t="s">
        <v>152</v>
      </c>
      <c r="E82" s="6" t="s">
        <v>132</v>
      </c>
      <c r="F82" s="7"/>
      <c r="G82" s="7"/>
      <c r="H82" s="7"/>
    </row>
    <row r="83" customFormat="false" ht="15" hidden="false" customHeight="false" outlineLevel="0" collapsed="false">
      <c r="A83" s="6" t="s">
        <v>52</v>
      </c>
      <c r="B83" s="6" t="s">
        <v>317</v>
      </c>
      <c r="C83" s="6" t="s">
        <v>318</v>
      </c>
      <c r="D83" s="6" t="s">
        <v>166</v>
      </c>
      <c r="E83" s="6" t="s">
        <v>95</v>
      </c>
      <c r="F83" s="7"/>
      <c r="G83" s="7"/>
      <c r="H83" s="7"/>
    </row>
    <row r="84" customFormat="false" ht="15" hidden="false" customHeight="false" outlineLevel="0" collapsed="false">
      <c r="A84" s="6" t="s">
        <v>52</v>
      </c>
      <c r="B84" s="6" t="s">
        <v>319</v>
      </c>
      <c r="C84" s="6" t="s">
        <v>320</v>
      </c>
      <c r="D84" s="6" t="s">
        <v>171</v>
      </c>
      <c r="E84" s="6" t="s">
        <v>95</v>
      </c>
      <c r="F84" s="7"/>
      <c r="G84" s="7"/>
      <c r="H84" s="7"/>
    </row>
    <row r="85" customFormat="false" ht="15" hidden="false" customHeight="false" outlineLevel="0" collapsed="false">
      <c r="A85" s="6" t="s">
        <v>52</v>
      </c>
      <c r="B85" s="6" t="s">
        <v>321</v>
      </c>
      <c r="C85" s="6" t="s">
        <v>322</v>
      </c>
      <c r="D85" s="6" t="s">
        <v>152</v>
      </c>
      <c r="E85" s="6" t="s">
        <v>135</v>
      </c>
      <c r="F85" s="7"/>
      <c r="G85" s="7"/>
      <c r="H85" s="7"/>
    </row>
    <row r="86" customFormat="false" ht="15" hidden="false" customHeight="false" outlineLevel="0" collapsed="false">
      <c r="A86" s="6" t="s">
        <v>52</v>
      </c>
      <c r="B86" s="6" t="s">
        <v>323</v>
      </c>
      <c r="C86" s="6" t="s">
        <v>324</v>
      </c>
      <c r="D86" s="6" t="s">
        <v>166</v>
      </c>
      <c r="E86" s="6" t="s">
        <v>135</v>
      </c>
      <c r="F86" s="7"/>
      <c r="G86" s="7"/>
      <c r="H86" s="7"/>
    </row>
    <row r="87" customFormat="false" ht="15" hidden="false" customHeight="false" outlineLevel="0" collapsed="false">
      <c r="A87" s="6" t="s">
        <v>52</v>
      </c>
      <c r="B87" s="6" t="s">
        <v>325</v>
      </c>
      <c r="C87" s="6" t="s">
        <v>326</v>
      </c>
      <c r="D87" s="6" t="s">
        <v>152</v>
      </c>
      <c r="E87" s="6" t="s">
        <v>132</v>
      </c>
      <c r="F87" s="7"/>
      <c r="G87" s="7"/>
      <c r="H87" s="7"/>
    </row>
    <row r="88" customFormat="false" ht="15" hidden="false" customHeight="false" outlineLevel="0" collapsed="false">
      <c r="A88" s="6" t="s">
        <v>52</v>
      </c>
      <c r="B88" s="6" t="s">
        <v>327</v>
      </c>
      <c r="C88" s="6" t="s">
        <v>328</v>
      </c>
      <c r="D88" s="6" t="s">
        <v>152</v>
      </c>
      <c r="E88" s="6" t="s">
        <v>135</v>
      </c>
      <c r="F88" s="7"/>
      <c r="G88" s="7"/>
      <c r="H88" s="7"/>
    </row>
    <row r="89" customFormat="false" ht="15" hidden="false" customHeight="false" outlineLevel="0" collapsed="false">
      <c r="A89" s="6" t="s">
        <v>52</v>
      </c>
      <c r="B89" s="6" t="s">
        <v>329</v>
      </c>
      <c r="C89" s="6"/>
      <c r="D89" s="6" t="s">
        <v>154</v>
      </c>
      <c r="E89" s="6" t="s">
        <v>135</v>
      </c>
      <c r="F89" s="7"/>
      <c r="G89" s="7"/>
      <c r="H89" s="7"/>
    </row>
    <row r="90" customFormat="false" ht="15" hidden="false" customHeight="false" outlineLevel="0" collapsed="false">
      <c r="A90" s="6" t="s">
        <v>52</v>
      </c>
      <c r="B90" s="6" t="s">
        <v>330</v>
      </c>
      <c r="C90" s="6" t="s">
        <v>331</v>
      </c>
      <c r="D90" s="6" t="s">
        <v>152</v>
      </c>
      <c r="E90" s="6" t="s">
        <v>137</v>
      </c>
      <c r="F90" s="7"/>
      <c r="G90" s="7"/>
      <c r="H90" s="7"/>
    </row>
    <row r="91" customFormat="false" ht="15" hidden="false" customHeight="false" outlineLevel="0" collapsed="false">
      <c r="A91" s="6" t="s">
        <v>52</v>
      </c>
      <c r="B91" s="6" t="s">
        <v>332</v>
      </c>
      <c r="C91" s="6" t="s">
        <v>333</v>
      </c>
      <c r="D91" s="6" t="s">
        <v>152</v>
      </c>
      <c r="E91" s="6" t="s">
        <v>137</v>
      </c>
      <c r="F91" s="7"/>
      <c r="G91" s="7"/>
      <c r="H91" s="7"/>
    </row>
    <row r="92" customFormat="false" ht="15" hidden="false" customHeight="false" outlineLevel="0" collapsed="false">
      <c r="A92" s="6" t="s">
        <v>52</v>
      </c>
      <c r="B92" s="6" t="s">
        <v>334</v>
      </c>
      <c r="C92" s="6" t="s">
        <v>335</v>
      </c>
      <c r="D92" s="6" t="s">
        <v>152</v>
      </c>
      <c r="E92" s="6" t="s">
        <v>137</v>
      </c>
      <c r="F92" s="7"/>
      <c r="G92" s="7"/>
      <c r="H92" s="7"/>
    </row>
    <row r="93" customFormat="false" ht="15" hidden="false" customHeight="false" outlineLevel="0" collapsed="false">
      <c r="A93" s="6" t="s">
        <v>52</v>
      </c>
      <c r="B93" s="6" t="s">
        <v>336</v>
      </c>
      <c r="C93" s="6" t="s">
        <v>337</v>
      </c>
      <c r="D93" s="6" t="s">
        <v>171</v>
      </c>
      <c r="E93" s="6" t="s">
        <v>137</v>
      </c>
      <c r="F93" s="7"/>
      <c r="G93" s="7"/>
      <c r="H93" s="7"/>
    </row>
    <row r="94" customFormat="false" ht="23.85" hidden="false" customHeight="false" outlineLevel="0" collapsed="false">
      <c r="A94" s="6" t="s">
        <v>52</v>
      </c>
      <c r="B94" s="6" t="s">
        <v>338</v>
      </c>
      <c r="C94" s="6" t="s">
        <v>339</v>
      </c>
      <c r="D94" s="6" t="s">
        <v>152</v>
      </c>
      <c r="E94" s="6" t="s">
        <v>113</v>
      </c>
      <c r="F94" s="7"/>
      <c r="G94" s="7"/>
      <c r="H94" s="7"/>
    </row>
    <row r="95" customFormat="false" ht="15" hidden="false" customHeight="false" outlineLevel="0" collapsed="false">
      <c r="A95" s="6" t="s">
        <v>52</v>
      </c>
      <c r="B95" s="6" t="s">
        <v>340</v>
      </c>
      <c r="C95" s="6" t="s">
        <v>341</v>
      </c>
      <c r="D95" s="6" t="s">
        <v>152</v>
      </c>
      <c r="E95" s="6" t="s">
        <v>113</v>
      </c>
      <c r="F95" s="7"/>
      <c r="G95" s="7"/>
      <c r="H95" s="7"/>
    </row>
    <row r="96" customFormat="false" ht="15" hidden="false" customHeight="false" outlineLevel="0" collapsed="false">
      <c r="A96" s="6" t="s">
        <v>52</v>
      </c>
      <c r="B96" s="6" t="s">
        <v>342</v>
      </c>
      <c r="C96" s="6" t="s">
        <v>343</v>
      </c>
      <c r="D96" s="6" t="s">
        <v>191</v>
      </c>
      <c r="E96" s="6" t="s">
        <v>113</v>
      </c>
      <c r="F96" s="7"/>
      <c r="G96" s="7"/>
      <c r="H96" s="7"/>
    </row>
    <row r="97" customFormat="false" ht="15" hidden="false" customHeight="false" outlineLevel="0" collapsed="false">
      <c r="A97" s="6" t="s">
        <v>52</v>
      </c>
      <c r="B97" s="6" t="s">
        <v>344</v>
      </c>
      <c r="C97" s="6" t="s">
        <v>345</v>
      </c>
      <c r="D97" s="6" t="s">
        <v>152</v>
      </c>
      <c r="E97" s="6" t="s">
        <v>113</v>
      </c>
      <c r="F97" s="7"/>
      <c r="G97" s="7"/>
      <c r="H97" s="7"/>
    </row>
    <row r="98" customFormat="false" ht="15" hidden="false" customHeight="false" outlineLevel="0" collapsed="false">
      <c r="A98" s="6" t="s">
        <v>52</v>
      </c>
      <c r="B98" s="6" t="s">
        <v>346</v>
      </c>
      <c r="C98" s="6" t="s">
        <v>347</v>
      </c>
      <c r="D98" s="6" t="s">
        <v>171</v>
      </c>
      <c r="E98" s="6" t="s">
        <v>113</v>
      </c>
      <c r="F98" s="7"/>
      <c r="G98" s="7"/>
      <c r="H98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5" t="s">
        <v>11</v>
      </c>
      <c r="B1" s="5" t="s">
        <v>57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</row>
    <row r="2" customFormat="false" ht="23.85" hidden="false" customHeight="false" outlineLevel="0" collapsed="false">
      <c r="A2" s="6" t="s">
        <v>22</v>
      </c>
      <c r="B2" s="6" t="s">
        <v>353</v>
      </c>
      <c r="C2" s="6" t="s">
        <v>147</v>
      </c>
      <c r="D2" s="6" t="s">
        <v>148</v>
      </c>
      <c r="E2" s="6" t="s">
        <v>150</v>
      </c>
      <c r="F2" s="6" t="s">
        <v>151</v>
      </c>
      <c r="G2" s="6"/>
    </row>
    <row r="3" customFormat="false" ht="23.85" hidden="false" customHeight="false" outlineLevel="0" collapsed="false">
      <c r="A3" s="6" t="s">
        <v>22</v>
      </c>
      <c r="B3" s="6" t="s">
        <v>354</v>
      </c>
      <c r="C3" s="6" t="s">
        <v>150</v>
      </c>
      <c r="D3" s="6" t="s">
        <v>151</v>
      </c>
      <c r="E3" s="6" t="s">
        <v>153</v>
      </c>
      <c r="F3" s="6" t="s">
        <v>154</v>
      </c>
      <c r="G3" s="6"/>
    </row>
    <row r="4" customFormat="false" ht="15" hidden="false" customHeight="false" outlineLevel="0" collapsed="false">
      <c r="A4" s="6" t="s">
        <v>22</v>
      </c>
      <c r="B4" s="6" t="s">
        <v>355</v>
      </c>
      <c r="C4" s="6" t="s">
        <v>153</v>
      </c>
      <c r="D4" s="6" t="s">
        <v>154</v>
      </c>
      <c r="E4" s="6" t="s">
        <v>155</v>
      </c>
      <c r="F4" s="6" t="s">
        <v>156</v>
      </c>
      <c r="G4" s="6"/>
    </row>
    <row r="5" customFormat="false" ht="15" hidden="false" customHeight="false" outlineLevel="0" collapsed="false">
      <c r="A5" s="6" t="s">
        <v>22</v>
      </c>
      <c r="B5" s="6" t="s">
        <v>356</v>
      </c>
      <c r="C5" s="6" t="s">
        <v>153</v>
      </c>
      <c r="D5" s="6" t="s">
        <v>154</v>
      </c>
      <c r="E5" s="6" t="s">
        <v>157</v>
      </c>
      <c r="F5" s="6" t="s">
        <v>158</v>
      </c>
      <c r="G5" s="6"/>
    </row>
    <row r="6" customFormat="false" ht="15" hidden="false" customHeight="false" outlineLevel="0" collapsed="false">
      <c r="A6" s="6" t="s">
        <v>22</v>
      </c>
      <c r="B6" s="6" t="s">
        <v>357</v>
      </c>
      <c r="C6" s="6" t="s">
        <v>155</v>
      </c>
      <c r="D6" s="6" t="s">
        <v>156</v>
      </c>
      <c r="E6" s="6" t="s">
        <v>159</v>
      </c>
      <c r="F6" s="6" t="s">
        <v>154</v>
      </c>
      <c r="G6" s="6"/>
    </row>
    <row r="7" customFormat="false" ht="15" hidden="false" customHeight="false" outlineLevel="0" collapsed="false">
      <c r="A7" s="6" t="s">
        <v>22</v>
      </c>
      <c r="B7" s="6" t="s">
        <v>358</v>
      </c>
      <c r="C7" s="6" t="s">
        <v>157</v>
      </c>
      <c r="D7" s="6" t="s">
        <v>158</v>
      </c>
      <c r="E7" s="6" t="s">
        <v>159</v>
      </c>
      <c r="F7" s="6" t="s">
        <v>154</v>
      </c>
      <c r="G7" s="6"/>
    </row>
    <row r="8" customFormat="false" ht="23.85" hidden="false" customHeight="false" outlineLevel="0" collapsed="false">
      <c r="A8" s="6" t="s">
        <v>22</v>
      </c>
      <c r="B8" s="6" t="s">
        <v>359</v>
      </c>
      <c r="C8" s="6" t="s">
        <v>159</v>
      </c>
      <c r="D8" s="6" t="s">
        <v>154</v>
      </c>
      <c r="E8" s="6" t="s">
        <v>160</v>
      </c>
      <c r="F8" s="6" t="s">
        <v>161</v>
      </c>
      <c r="G8" s="6"/>
    </row>
    <row r="9" customFormat="false" ht="23.85" hidden="false" customHeight="false" outlineLevel="0" collapsed="false">
      <c r="A9" s="6" t="s">
        <v>22</v>
      </c>
      <c r="B9" s="6" t="s">
        <v>360</v>
      </c>
      <c r="C9" s="6" t="s">
        <v>160</v>
      </c>
      <c r="D9" s="6" t="s">
        <v>161</v>
      </c>
      <c r="E9" s="6" t="s">
        <v>162</v>
      </c>
      <c r="F9" s="6" t="s">
        <v>163</v>
      </c>
      <c r="G9" s="6"/>
    </row>
    <row r="10" customFormat="false" ht="15" hidden="false" customHeight="false" outlineLevel="0" collapsed="false">
      <c r="A10" s="6" t="s">
        <v>22</v>
      </c>
      <c r="B10" s="6" t="s">
        <v>361</v>
      </c>
      <c r="C10" s="6" t="s">
        <v>162</v>
      </c>
      <c r="D10" s="6" t="s">
        <v>163</v>
      </c>
      <c r="E10" s="6" t="s">
        <v>164</v>
      </c>
      <c r="F10" s="6" t="s">
        <v>165</v>
      </c>
      <c r="G10" s="6"/>
    </row>
    <row r="11" customFormat="false" ht="15" hidden="false" customHeight="false" outlineLevel="0" collapsed="false">
      <c r="A11" s="6" t="s">
        <v>22</v>
      </c>
      <c r="B11" s="6" t="s">
        <v>362</v>
      </c>
      <c r="C11" s="6" t="s">
        <v>164</v>
      </c>
      <c r="D11" s="6" t="s">
        <v>165</v>
      </c>
      <c r="E11" s="6" t="s">
        <v>167</v>
      </c>
      <c r="F11" s="6" t="s">
        <v>168</v>
      </c>
      <c r="G11" s="6" t="s">
        <v>363</v>
      </c>
    </row>
    <row r="12" customFormat="false" ht="23.85" hidden="false" customHeight="false" outlineLevel="0" collapsed="false">
      <c r="A12" s="6" t="s">
        <v>22</v>
      </c>
      <c r="B12" s="6" t="s">
        <v>364</v>
      </c>
      <c r="C12" s="6" t="s">
        <v>164</v>
      </c>
      <c r="D12" s="6" t="s">
        <v>165</v>
      </c>
      <c r="E12" s="6" t="s">
        <v>160</v>
      </c>
      <c r="F12" s="6" t="s">
        <v>161</v>
      </c>
      <c r="G12" s="6" t="s">
        <v>365</v>
      </c>
    </row>
    <row r="13" customFormat="false" ht="15" hidden="false" customHeight="false" outlineLevel="0" collapsed="false">
      <c r="A13" s="6" t="s">
        <v>22</v>
      </c>
      <c r="B13" s="6" t="s">
        <v>366</v>
      </c>
      <c r="C13" s="6" t="s">
        <v>167</v>
      </c>
      <c r="D13" s="6" t="s">
        <v>168</v>
      </c>
      <c r="E13" s="6" t="s">
        <v>169</v>
      </c>
      <c r="F13" s="6" t="s">
        <v>170</v>
      </c>
      <c r="G13" s="6"/>
    </row>
    <row r="14" customFormat="false" ht="15" hidden="false" customHeight="false" outlineLevel="0" collapsed="false">
      <c r="A14" s="6" t="s">
        <v>27</v>
      </c>
      <c r="B14" s="6" t="s">
        <v>367</v>
      </c>
      <c r="C14" s="6" t="s">
        <v>172</v>
      </c>
      <c r="D14" s="6" t="s">
        <v>173</v>
      </c>
      <c r="E14" s="6" t="s">
        <v>175</v>
      </c>
      <c r="F14" s="6" t="s">
        <v>176</v>
      </c>
      <c r="G14" s="6"/>
    </row>
    <row r="15" customFormat="false" ht="15" hidden="false" customHeight="false" outlineLevel="0" collapsed="false">
      <c r="A15" s="6" t="s">
        <v>27</v>
      </c>
      <c r="B15" s="6" t="s">
        <v>368</v>
      </c>
      <c r="C15" s="6" t="s">
        <v>175</v>
      </c>
      <c r="D15" s="6" t="s">
        <v>176</v>
      </c>
      <c r="E15" s="6" t="s">
        <v>177</v>
      </c>
      <c r="F15" s="6" t="s">
        <v>178</v>
      </c>
      <c r="G15" s="6"/>
    </row>
    <row r="16" customFormat="false" ht="15" hidden="false" customHeight="false" outlineLevel="0" collapsed="false">
      <c r="A16" s="6" t="s">
        <v>27</v>
      </c>
      <c r="B16" s="6" t="s">
        <v>369</v>
      </c>
      <c r="C16" s="6" t="s">
        <v>177</v>
      </c>
      <c r="D16" s="6" t="s">
        <v>178</v>
      </c>
      <c r="E16" s="6" t="s">
        <v>179</v>
      </c>
      <c r="F16" s="6" t="s">
        <v>180</v>
      </c>
      <c r="G16" s="6"/>
    </row>
    <row r="17" customFormat="false" ht="15" hidden="false" customHeight="false" outlineLevel="0" collapsed="false">
      <c r="A17" s="6" t="s">
        <v>27</v>
      </c>
      <c r="B17" s="6" t="s">
        <v>370</v>
      </c>
      <c r="C17" s="6" t="s">
        <v>179</v>
      </c>
      <c r="D17" s="6" t="s">
        <v>180</v>
      </c>
      <c r="E17" s="6" t="s">
        <v>181</v>
      </c>
      <c r="F17" s="6" t="s">
        <v>182</v>
      </c>
      <c r="G17" s="6" t="s">
        <v>371</v>
      </c>
    </row>
    <row r="18" customFormat="false" ht="15" hidden="false" customHeight="false" outlineLevel="0" collapsed="false">
      <c r="A18" s="6" t="s">
        <v>27</v>
      </c>
      <c r="B18" s="6" t="s">
        <v>372</v>
      </c>
      <c r="C18" s="6" t="s">
        <v>179</v>
      </c>
      <c r="D18" s="6" t="s">
        <v>180</v>
      </c>
      <c r="E18" s="6" t="s">
        <v>183</v>
      </c>
      <c r="F18" s="6" t="s">
        <v>184</v>
      </c>
      <c r="G18" s="6" t="s">
        <v>363</v>
      </c>
    </row>
    <row r="19" customFormat="false" ht="15" hidden="false" customHeight="false" outlineLevel="0" collapsed="false">
      <c r="A19" s="6" t="s">
        <v>27</v>
      </c>
      <c r="B19" s="6" t="s">
        <v>373</v>
      </c>
      <c r="C19" s="6" t="s">
        <v>183</v>
      </c>
      <c r="D19" s="6" t="s">
        <v>184</v>
      </c>
      <c r="E19" s="6" t="s">
        <v>185</v>
      </c>
      <c r="F19" s="6" t="s">
        <v>186</v>
      </c>
      <c r="G19" s="6"/>
    </row>
    <row r="20" customFormat="false" ht="15" hidden="false" customHeight="false" outlineLevel="0" collapsed="false">
      <c r="A20" s="6" t="s">
        <v>27</v>
      </c>
      <c r="B20" s="6" t="s">
        <v>374</v>
      </c>
      <c r="C20" s="6" t="s">
        <v>185</v>
      </c>
      <c r="D20" s="6" t="s">
        <v>186</v>
      </c>
      <c r="E20" s="6" t="s">
        <v>187</v>
      </c>
      <c r="F20" s="6" t="s">
        <v>188</v>
      </c>
      <c r="G20" s="6"/>
    </row>
    <row r="21" customFormat="false" ht="15" hidden="false" customHeight="false" outlineLevel="0" collapsed="false">
      <c r="A21" s="6" t="s">
        <v>27</v>
      </c>
      <c r="B21" s="6" t="s">
        <v>375</v>
      </c>
      <c r="C21" s="6" t="s">
        <v>187</v>
      </c>
      <c r="D21" s="6" t="s">
        <v>188</v>
      </c>
      <c r="E21" s="6" t="s">
        <v>189</v>
      </c>
      <c r="F21" s="6" t="s">
        <v>190</v>
      </c>
      <c r="G21" s="6"/>
    </row>
    <row r="22" customFormat="false" ht="23.85" hidden="false" customHeight="false" outlineLevel="0" collapsed="false">
      <c r="A22" s="6" t="s">
        <v>27</v>
      </c>
      <c r="B22" s="6" t="s">
        <v>376</v>
      </c>
      <c r="C22" s="6" t="s">
        <v>189</v>
      </c>
      <c r="D22" s="6" t="s">
        <v>190</v>
      </c>
      <c r="E22" s="6" t="s">
        <v>192</v>
      </c>
      <c r="F22" s="6" t="s">
        <v>193</v>
      </c>
      <c r="G22" s="6"/>
    </row>
    <row r="23" customFormat="false" ht="23.85" hidden="false" customHeight="false" outlineLevel="0" collapsed="false">
      <c r="A23" s="6" t="s">
        <v>27</v>
      </c>
      <c r="B23" s="6" t="s">
        <v>377</v>
      </c>
      <c r="C23" s="6" t="s">
        <v>192</v>
      </c>
      <c r="D23" s="6" t="s">
        <v>193</v>
      </c>
      <c r="E23" s="6" t="s">
        <v>194</v>
      </c>
      <c r="F23" s="6" t="s">
        <v>195</v>
      </c>
      <c r="G23" s="6"/>
    </row>
    <row r="24" customFormat="false" ht="23.85" hidden="false" customHeight="false" outlineLevel="0" collapsed="false">
      <c r="A24" s="6" t="s">
        <v>27</v>
      </c>
      <c r="B24" s="6" t="s">
        <v>378</v>
      </c>
      <c r="C24" s="6" t="s">
        <v>194</v>
      </c>
      <c r="D24" s="6" t="s">
        <v>195</v>
      </c>
      <c r="E24" s="6" t="s">
        <v>196</v>
      </c>
      <c r="F24" s="6" t="s">
        <v>197</v>
      </c>
      <c r="G24" s="6"/>
    </row>
    <row r="25" customFormat="false" ht="23.85" hidden="false" customHeight="false" outlineLevel="0" collapsed="false">
      <c r="A25" s="6" t="s">
        <v>27</v>
      </c>
      <c r="B25" s="6" t="s">
        <v>379</v>
      </c>
      <c r="C25" s="6" t="s">
        <v>196</v>
      </c>
      <c r="D25" s="6" t="s">
        <v>197</v>
      </c>
      <c r="E25" s="6" t="s">
        <v>198</v>
      </c>
      <c r="F25" s="6" t="s">
        <v>199</v>
      </c>
      <c r="G25" s="6"/>
    </row>
    <row r="26" customFormat="false" ht="23.85" hidden="false" customHeight="false" outlineLevel="0" collapsed="false">
      <c r="A26" s="6" t="s">
        <v>32</v>
      </c>
      <c r="B26" s="6" t="s">
        <v>380</v>
      </c>
      <c r="C26" s="6" t="s">
        <v>200</v>
      </c>
      <c r="D26" s="6" t="s">
        <v>201</v>
      </c>
      <c r="E26" s="6" t="s">
        <v>203</v>
      </c>
      <c r="F26" s="6" t="s">
        <v>204</v>
      </c>
      <c r="G26" s="6"/>
    </row>
    <row r="27" customFormat="false" ht="23.85" hidden="false" customHeight="false" outlineLevel="0" collapsed="false">
      <c r="A27" s="6" t="s">
        <v>32</v>
      </c>
      <c r="B27" s="6" t="s">
        <v>381</v>
      </c>
      <c r="C27" s="6" t="s">
        <v>203</v>
      </c>
      <c r="D27" s="6" t="s">
        <v>204</v>
      </c>
      <c r="E27" s="6" t="s">
        <v>205</v>
      </c>
      <c r="F27" s="6" t="s">
        <v>206</v>
      </c>
      <c r="G27" s="6"/>
    </row>
    <row r="28" customFormat="false" ht="15" hidden="false" customHeight="false" outlineLevel="0" collapsed="false">
      <c r="A28" s="6" t="s">
        <v>32</v>
      </c>
      <c r="B28" s="6" t="s">
        <v>382</v>
      </c>
      <c r="C28" s="6" t="s">
        <v>205</v>
      </c>
      <c r="D28" s="6" t="s">
        <v>206</v>
      </c>
      <c r="E28" s="6" t="s">
        <v>209</v>
      </c>
      <c r="F28" s="6" t="s">
        <v>210</v>
      </c>
      <c r="G28" s="6" t="s">
        <v>363</v>
      </c>
    </row>
    <row r="29" customFormat="false" ht="15" hidden="false" customHeight="false" outlineLevel="0" collapsed="false">
      <c r="A29" s="6" t="s">
        <v>32</v>
      </c>
      <c r="B29" s="6" t="s">
        <v>383</v>
      </c>
      <c r="C29" s="6" t="s">
        <v>205</v>
      </c>
      <c r="D29" s="6" t="s">
        <v>206</v>
      </c>
      <c r="E29" s="6" t="s">
        <v>207</v>
      </c>
      <c r="F29" s="6" t="s">
        <v>208</v>
      </c>
      <c r="G29" s="6" t="s">
        <v>371</v>
      </c>
    </row>
    <row r="30" customFormat="false" ht="15" hidden="false" customHeight="false" outlineLevel="0" collapsed="false">
      <c r="A30" s="6" t="s">
        <v>32</v>
      </c>
      <c r="B30" s="6" t="s">
        <v>384</v>
      </c>
      <c r="C30" s="6" t="s">
        <v>207</v>
      </c>
      <c r="D30" s="6" t="s">
        <v>208</v>
      </c>
      <c r="E30" s="6" t="s">
        <v>209</v>
      </c>
      <c r="F30" s="6" t="s">
        <v>210</v>
      </c>
      <c r="G30" s="6"/>
    </row>
    <row r="31" customFormat="false" ht="15" hidden="false" customHeight="false" outlineLevel="0" collapsed="false">
      <c r="A31" s="6" t="s">
        <v>32</v>
      </c>
      <c r="B31" s="6" t="s">
        <v>385</v>
      </c>
      <c r="C31" s="6" t="s">
        <v>209</v>
      </c>
      <c r="D31" s="6" t="s">
        <v>210</v>
      </c>
      <c r="E31" s="6" t="s">
        <v>211</v>
      </c>
      <c r="F31" s="6" t="s">
        <v>212</v>
      </c>
      <c r="G31" s="6"/>
    </row>
    <row r="32" customFormat="false" ht="23.85" hidden="false" customHeight="false" outlineLevel="0" collapsed="false">
      <c r="A32" s="6" t="s">
        <v>32</v>
      </c>
      <c r="B32" s="6" t="s">
        <v>386</v>
      </c>
      <c r="C32" s="6" t="s">
        <v>211</v>
      </c>
      <c r="D32" s="6" t="s">
        <v>212</v>
      </c>
      <c r="E32" s="6" t="s">
        <v>213</v>
      </c>
      <c r="F32" s="6" t="s">
        <v>214</v>
      </c>
      <c r="G32" s="6"/>
    </row>
    <row r="33" customFormat="false" ht="23.85" hidden="false" customHeight="false" outlineLevel="0" collapsed="false">
      <c r="A33" s="6" t="s">
        <v>32</v>
      </c>
      <c r="B33" s="6" t="s">
        <v>387</v>
      </c>
      <c r="C33" s="6" t="s">
        <v>213</v>
      </c>
      <c r="D33" s="6" t="s">
        <v>214</v>
      </c>
      <c r="E33" s="6" t="s">
        <v>215</v>
      </c>
      <c r="F33" s="6" t="s">
        <v>216</v>
      </c>
      <c r="G33" s="6"/>
    </row>
    <row r="34" customFormat="false" ht="23.85" hidden="false" customHeight="false" outlineLevel="0" collapsed="false">
      <c r="A34" s="6" t="s">
        <v>32</v>
      </c>
      <c r="B34" s="6" t="s">
        <v>388</v>
      </c>
      <c r="C34" s="6" t="s">
        <v>215</v>
      </c>
      <c r="D34" s="6" t="s">
        <v>216</v>
      </c>
      <c r="E34" s="6" t="s">
        <v>217</v>
      </c>
      <c r="F34" s="6" t="s">
        <v>218</v>
      </c>
      <c r="G34" s="6"/>
    </row>
    <row r="35" customFormat="false" ht="15" hidden="false" customHeight="false" outlineLevel="0" collapsed="false">
      <c r="A35" s="6" t="s">
        <v>32</v>
      </c>
      <c r="B35" s="6" t="s">
        <v>389</v>
      </c>
      <c r="C35" s="6" t="s">
        <v>217</v>
      </c>
      <c r="D35" s="6" t="s">
        <v>218</v>
      </c>
      <c r="E35" s="6" t="s">
        <v>221</v>
      </c>
      <c r="F35" s="6" t="s">
        <v>222</v>
      </c>
      <c r="G35" s="6" t="s">
        <v>363</v>
      </c>
    </row>
    <row r="36" customFormat="false" ht="15" hidden="false" customHeight="false" outlineLevel="0" collapsed="false">
      <c r="A36" s="6" t="s">
        <v>32</v>
      </c>
      <c r="B36" s="6" t="s">
        <v>390</v>
      </c>
      <c r="C36" s="6" t="s">
        <v>217</v>
      </c>
      <c r="D36" s="6" t="s">
        <v>218</v>
      </c>
      <c r="E36" s="6" t="s">
        <v>219</v>
      </c>
      <c r="F36" s="6" t="s">
        <v>220</v>
      </c>
      <c r="G36" s="6" t="s">
        <v>371</v>
      </c>
    </row>
    <row r="37" customFormat="false" ht="23.85" hidden="false" customHeight="false" outlineLevel="0" collapsed="false">
      <c r="A37" s="6" t="s">
        <v>32</v>
      </c>
      <c r="B37" s="6" t="s">
        <v>391</v>
      </c>
      <c r="C37" s="6" t="s">
        <v>219</v>
      </c>
      <c r="D37" s="6" t="s">
        <v>220</v>
      </c>
      <c r="E37" s="6" t="s">
        <v>215</v>
      </c>
      <c r="F37" s="6" t="s">
        <v>216</v>
      </c>
      <c r="G37" s="6"/>
    </row>
    <row r="38" customFormat="false" ht="15" hidden="false" customHeight="false" outlineLevel="0" collapsed="false">
      <c r="A38" s="6" t="s">
        <v>32</v>
      </c>
      <c r="B38" s="6" t="s">
        <v>392</v>
      </c>
      <c r="C38" s="6" t="s">
        <v>221</v>
      </c>
      <c r="D38" s="6" t="s">
        <v>222</v>
      </c>
      <c r="E38" s="6" t="s">
        <v>223</v>
      </c>
      <c r="F38" s="6" t="s">
        <v>224</v>
      </c>
      <c r="G38" s="6"/>
    </row>
    <row r="39" customFormat="false" ht="15" hidden="false" customHeight="false" outlineLevel="0" collapsed="false">
      <c r="A39" s="6" t="s">
        <v>32</v>
      </c>
      <c r="B39" s="6" t="s">
        <v>393</v>
      </c>
      <c r="C39" s="6" t="s">
        <v>223</v>
      </c>
      <c r="D39" s="6" t="s">
        <v>224</v>
      </c>
      <c r="E39" s="6" t="s">
        <v>225</v>
      </c>
      <c r="F39" s="6" t="s">
        <v>226</v>
      </c>
      <c r="G39" s="6"/>
    </row>
    <row r="40" customFormat="false" ht="15" hidden="false" customHeight="false" outlineLevel="0" collapsed="false">
      <c r="A40" s="6" t="s">
        <v>32</v>
      </c>
      <c r="B40" s="6" t="s">
        <v>394</v>
      </c>
      <c r="C40" s="6" t="s">
        <v>225</v>
      </c>
      <c r="D40" s="6" t="s">
        <v>226</v>
      </c>
      <c r="E40" s="6" t="s">
        <v>227</v>
      </c>
      <c r="F40" s="6" t="s">
        <v>228</v>
      </c>
      <c r="G40" s="6"/>
    </row>
    <row r="41" customFormat="false" ht="15" hidden="false" customHeight="false" outlineLevel="0" collapsed="false">
      <c r="A41" s="6" t="s">
        <v>37</v>
      </c>
      <c r="B41" s="6" t="s">
        <v>395</v>
      </c>
      <c r="C41" s="6" t="s">
        <v>229</v>
      </c>
      <c r="D41" s="6" t="s">
        <v>230</v>
      </c>
      <c r="E41" s="6" t="s">
        <v>231</v>
      </c>
      <c r="F41" s="6" t="s">
        <v>232</v>
      </c>
      <c r="G41" s="6"/>
    </row>
    <row r="42" customFormat="false" ht="15" hidden="false" customHeight="false" outlineLevel="0" collapsed="false">
      <c r="A42" s="6" t="s">
        <v>37</v>
      </c>
      <c r="B42" s="6" t="s">
        <v>396</v>
      </c>
      <c r="C42" s="6" t="s">
        <v>231</v>
      </c>
      <c r="D42" s="6" t="s">
        <v>232</v>
      </c>
      <c r="E42" s="6" t="s">
        <v>233</v>
      </c>
      <c r="F42" s="6" t="s">
        <v>234</v>
      </c>
      <c r="G42" s="6"/>
    </row>
    <row r="43" customFormat="false" ht="15" hidden="false" customHeight="false" outlineLevel="0" collapsed="false">
      <c r="A43" s="6" t="s">
        <v>37</v>
      </c>
      <c r="B43" s="6" t="s">
        <v>397</v>
      </c>
      <c r="C43" s="6" t="s">
        <v>233</v>
      </c>
      <c r="D43" s="6" t="s">
        <v>234</v>
      </c>
      <c r="E43" s="6" t="s">
        <v>235</v>
      </c>
      <c r="F43" s="6" t="s">
        <v>236</v>
      </c>
      <c r="G43" s="6"/>
    </row>
    <row r="44" customFormat="false" ht="15" hidden="false" customHeight="false" outlineLevel="0" collapsed="false">
      <c r="A44" s="6" t="s">
        <v>37</v>
      </c>
      <c r="B44" s="6" t="s">
        <v>398</v>
      </c>
      <c r="C44" s="6" t="s">
        <v>233</v>
      </c>
      <c r="D44" s="6" t="s">
        <v>234</v>
      </c>
      <c r="E44" s="6" t="s">
        <v>241</v>
      </c>
      <c r="F44" s="6" t="s">
        <v>242</v>
      </c>
      <c r="G44" s="6"/>
    </row>
    <row r="45" customFormat="false" ht="23.85" hidden="false" customHeight="false" outlineLevel="0" collapsed="false">
      <c r="A45" s="6" t="s">
        <v>37</v>
      </c>
      <c r="B45" s="6" t="s">
        <v>399</v>
      </c>
      <c r="C45" s="6" t="s">
        <v>235</v>
      </c>
      <c r="D45" s="6" t="s">
        <v>236</v>
      </c>
      <c r="E45" s="6" t="s">
        <v>237</v>
      </c>
      <c r="F45" s="6" t="s">
        <v>238</v>
      </c>
      <c r="G45" s="6"/>
    </row>
    <row r="46" customFormat="false" ht="23.85" hidden="false" customHeight="false" outlineLevel="0" collapsed="false">
      <c r="A46" s="6" t="s">
        <v>37</v>
      </c>
      <c r="B46" s="6" t="s">
        <v>400</v>
      </c>
      <c r="C46" s="6" t="s">
        <v>237</v>
      </c>
      <c r="D46" s="6" t="s">
        <v>238</v>
      </c>
      <c r="E46" s="6" t="s">
        <v>239</v>
      </c>
      <c r="F46" s="6" t="s">
        <v>240</v>
      </c>
      <c r="G46" s="6"/>
    </row>
    <row r="47" customFormat="false" ht="15" hidden="false" customHeight="false" outlineLevel="0" collapsed="false">
      <c r="A47" s="6" t="s">
        <v>37</v>
      </c>
      <c r="B47" s="6" t="s">
        <v>401</v>
      </c>
      <c r="C47" s="6" t="s">
        <v>241</v>
      </c>
      <c r="D47" s="6" t="s">
        <v>242</v>
      </c>
      <c r="E47" s="6" t="s">
        <v>244</v>
      </c>
      <c r="F47" s="6" t="s">
        <v>245</v>
      </c>
      <c r="G47" s="6"/>
    </row>
    <row r="48" customFormat="false" ht="15" hidden="false" customHeight="false" outlineLevel="0" collapsed="false">
      <c r="A48" s="6" t="s">
        <v>37</v>
      </c>
      <c r="B48" s="6" t="s">
        <v>402</v>
      </c>
      <c r="C48" s="6" t="s">
        <v>244</v>
      </c>
      <c r="D48" s="6" t="s">
        <v>245</v>
      </c>
      <c r="E48" s="6" t="s">
        <v>246</v>
      </c>
      <c r="F48" s="6" t="s">
        <v>247</v>
      </c>
      <c r="G48" s="6"/>
    </row>
    <row r="49" customFormat="false" ht="23.85" hidden="false" customHeight="false" outlineLevel="0" collapsed="false">
      <c r="A49" s="6" t="s">
        <v>37</v>
      </c>
      <c r="B49" s="6" t="s">
        <v>403</v>
      </c>
      <c r="C49" s="6" t="s">
        <v>246</v>
      </c>
      <c r="D49" s="6" t="s">
        <v>247</v>
      </c>
      <c r="E49" s="6" t="s">
        <v>237</v>
      </c>
      <c r="F49" s="6" t="s">
        <v>238</v>
      </c>
      <c r="G49" s="6" t="s">
        <v>363</v>
      </c>
    </row>
    <row r="50" customFormat="false" ht="23.85" hidden="false" customHeight="false" outlineLevel="0" collapsed="false">
      <c r="A50" s="6" t="s">
        <v>37</v>
      </c>
      <c r="B50" s="6" t="s">
        <v>404</v>
      </c>
      <c r="C50" s="6" t="s">
        <v>246</v>
      </c>
      <c r="D50" s="6" t="s">
        <v>247</v>
      </c>
      <c r="E50" s="6" t="s">
        <v>248</v>
      </c>
      <c r="F50" s="6" t="s">
        <v>249</v>
      </c>
      <c r="G50" s="6" t="s">
        <v>371</v>
      </c>
    </row>
    <row r="51" customFormat="false" ht="23.85" hidden="false" customHeight="false" outlineLevel="0" collapsed="false">
      <c r="A51" s="6" t="s">
        <v>37</v>
      </c>
      <c r="B51" s="6" t="s">
        <v>405</v>
      </c>
      <c r="C51" s="6" t="s">
        <v>248</v>
      </c>
      <c r="D51" s="6" t="s">
        <v>249</v>
      </c>
      <c r="E51" s="6" t="s">
        <v>250</v>
      </c>
      <c r="F51" s="6" t="s">
        <v>251</v>
      </c>
      <c r="G51" s="6"/>
    </row>
    <row r="52" customFormat="false" ht="23.85" hidden="false" customHeight="false" outlineLevel="0" collapsed="false">
      <c r="A52" s="6" t="s">
        <v>37</v>
      </c>
      <c r="B52" s="6" t="s">
        <v>406</v>
      </c>
      <c r="C52" s="6" t="s">
        <v>250</v>
      </c>
      <c r="D52" s="6" t="s">
        <v>251</v>
      </c>
      <c r="E52" s="6" t="s">
        <v>252</v>
      </c>
      <c r="F52" s="6" t="s">
        <v>253</v>
      </c>
      <c r="G52" s="6"/>
    </row>
    <row r="53" customFormat="false" ht="23.85" hidden="false" customHeight="false" outlineLevel="0" collapsed="false">
      <c r="A53" s="6" t="s">
        <v>37</v>
      </c>
      <c r="B53" s="6" t="s">
        <v>407</v>
      </c>
      <c r="C53" s="6" t="s">
        <v>252</v>
      </c>
      <c r="D53" s="6" t="s">
        <v>253</v>
      </c>
      <c r="E53" s="6" t="s">
        <v>254</v>
      </c>
      <c r="F53" s="6" t="s">
        <v>255</v>
      </c>
      <c r="G53" s="6"/>
    </row>
    <row r="54" customFormat="false" ht="15" hidden="false" customHeight="false" outlineLevel="0" collapsed="false">
      <c r="A54" s="6" t="s">
        <v>37</v>
      </c>
      <c r="B54" s="6" t="s">
        <v>408</v>
      </c>
      <c r="C54" s="6" t="s">
        <v>254</v>
      </c>
      <c r="D54" s="6" t="s">
        <v>255</v>
      </c>
      <c r="E54" s="6" t="s">
        <v>256</v>
      </c>
      <c r="F54" s="6" t="s">
        <v>257</v>
      </c>
      <c r="G54" s="6"/>
    </row>
    <row r="55" customFormat="false" ht="15" hidden="false" customHeight="false" outlineLevel="0" collapsed="false">
      <c r="A55" s="6" t="s">
        <v>42</v>
      </c>
      <c r="B55" s="6" t="s">
        <v>409</v>
      </c>
      <c r="C55" s="6" t="s">
        <v>258</v>
      </c>
      <c r="D55" s="6" t="s">
        <v>259</v>
      </c>
      <c r="E55" s="6" t="s">
        <v>261</v>
      </c>
      <c r="F55" s="6" t="s">
        <v>262</v>
      </c>
      <c r="G55" s="6"/>
    </row>
    <row r="56" customFormat="false" ht="15" hidden="false" customHeight="false" outlineLevel="0" collapsed="false">
      <c r="A56" s="6" t="s">
        <v>42</v>
      </c>
      <c r="B56" s="6" t="s">
        <v>410</v>
      </c>
      <c r="C56" s="6" t="s">
        <v>261</v>
      </c>
      <c r="D56" s="6" t="s">
        <v>262</v>
      </c>
      <c r="E56" s="6" t="s">
        <v>263</v>
      </c>
      <c r="F56" s="6" t="s">
        <v>264</v>
      </c>
      <c r="G56" s="6" t="s">
        <v>115</v>
      </c>
    </row>
    <row r="57" customFormat="false" ht="15" hidden="false" customHeight="false" outlineLevel="0" collapsed="false">
      <c r="A57" s="6" t="s">
        <v>42</v>
      </c>
      <c r="B57" s="6" t="s">
        <v>411</v>
      </c>
      <c r="C57" s="6" t="s">
        <v>261</v>
      </c>
      <c r="D57" s="6" t="s">
        <v>262</v>
      </c>
      <c r="E57" s="6" t="s">
        <v>283</v>
      </c>
      <c r="F57" s="6" t="s">
        <v>284</v>
      </c>
      <c r="G57" s="6" t="s">
        <v>412</v>
      </c>
    </row>
    <row r="58" customFormat="false" ht="15" hidden="false" customHeight="false" outlineLevel="0" collapsed="false">
      <c r="A58" s="6" t="s">
        <v>42</v>
      </c>
      <c r="B58" s="6" t="s">
        <v>413</v>
      </c>
      <c r="C58" s="6" t="s">
        <v>263</v>
      </c>
      <c r="D58" s="6" t="s">
        <v>264</v>
      </c>
      <c r="E58" s="6" t="s">
        <v>265</v>
      </c>
      <c r="F58" s="6" t="s">
        <v>266</v>
      </c>
      <c r="G58" s="6"/>
    </row>
    <row r="59" customFormat="false" ht="15" hidden="false" customHeight="false" outlineLevel="0" collapsed="false">
      <c r="A59" s="6" t="s">
        <v>42</v>
      </c>
      <c r="B59" s="6" t="s">
        <v>414</v>
      </c>
      <c r="C59" s="6" t="s">
        <v>265</v>
      </c>
      <c r="D59" s="6" t="s">
        <v>266</v>
      </c>
      <c r="E59" s="6" t="s">
        <v>267</v>
      </c>
      <c r="F59" s="6" t="s">
        <v>268</v>
      </c>
      <c r="G59" s="6"/>
    </row>
    <row r="60" customFormat="false" ht="15" hidden="false" customHeight="false" outlineLevel="0" collapsed="false">
      <c r="A60" s="6" t="s">
        <v>42</v>
      </c>
      <c r="B60" s="6" t="s">
        <v>415</v>
      </c>
      <c r="C60" s="6" t="s">
        <v>267</v>
      </c>
      <c r="D60" s="6" t="s">
        <v>268</v>
      </c>
      <c r="E60" s="6" t="s">
        <v>269</v>
      </c>
      <c r="F60" s="6" t="s">
        <v>270</v>
      </c>
      <c r="G60" s="6"/>
    </row>
    <row r="61" customFormat="false" ht="15" hidden="false" customHeight="false" outlineLevel="0" collapsed="false">
      <c r="A61" s="6" t="s">
        <v>42</v>
      </c>
      <c r="B61" s="6" t="s">
        <v>416</v>
      </c>
      <c r="C61" s="6" t="s">
        <v>269</v>
      </c>
      <c r="D61" s="6" t="s">
        <v>270</v>
      </c>
      <c r="E61" s="6" t="s">
        <v>275</v>
      </c>
      <c r="F61" s="6" t="s">
        <v>276</v>
      </c>
      <c r="G61" s="6" t="s">
        <v>363</v>
      </c>
    </row>
    <row r="62" customFormat="false" ht="23.85" hidden="false" customHeight="false" outlineLevel="0" collapsed="false">
      <c r="A62" s="6" t="s">
        <v>42</v>
      </c>
      <c r="B62" s="6" t="s">
        <v>417</v>
      </c>
      <c r="C62" s="6" t="s">
        <v>269</v>
      </c>
      <c r="D62" s="6" t="s">
        <v>270</v>
      </c>
      <c r="E62" s="6" t="s">
        <v>271</v>
      </c>
      <c r="F62" s="6" t="s">
        <v>272</v>
      </c>
      <c r="G62" s="6" t="s">
        <v>371</v>
      </c>
    </row>
    <row r="63" customFormat="false" ht="23.85" hidden="false" customHeight="false" outlineLevel="0" collapsed="false">
      <c r="A63" s="6" t="s">
        <v>42</v>
      </c>
      <c r="B63" s="6" t="s">
        <v>418</v>
      </c>
      <c r="C63" s="6" t="s">
        <v>271</v>
      </c>
      <c r="D63" s="6" t="s">
        <v>272</v>
      </c>
      <c r="E63" s="6" t="s">
        <v>273</v>
      </c>
      <c r="F63" s="6" t="s">
        <v>274</v>
      </c>
      <c r="G63" s="6"/>
    </row>
    <row r="64" customFormat="false" ht="15" hidden="false" customHeight="false" outlineLevel="0" collapsed="false">
      <c r="A64" s="6" t="s">
        <v>42</v>
      </c>
      <c r="B64" s="6" t="s">
        <v>419</v>
      </c>
      <c r="C64" s="6" t="s">
        <v>275</v>
      </c>
      <c r="D64" s="6" t="s">
        <v>276</v>
      </c>
      <c r="E64" s="6" t="s">
        <v>277</v>
      </c>
      <c r="F64" s="6" t="s">
        <v>278</v>
      </c>
      <c r="G64" s="6"/>
    </row>
    <row r="65" customFormat="false" ht="15" hidden="false" customHeight="false" outlineLevel="0" collapsed="false">
      <c r="A65" s="6" t="s">
        <v>42</v>
      </c>
      <c r="B65" s="6" t="s">
        <v>420</v>
      </c>
      <c r="C65" s="6" t="s">
        <v>277</v>
      </c>
      <c r="D65" s="6" t="s">
        <v>278</v>
      </c>
      <c r="E65" s="6" t="s">
        <v>279</v>
      </c>
      <c r="F65" s="6" t="s">
        <v>280</v>
      </c>
      <c r="G65" s="6"/>
    </row>
    <row r="66" customFormat="false" ht="15" hidden="false" customHeight="false" outlineLevel="0" collapsed="false">
      <c r="A66" s="6" t="s">
        <v>42</v>
      </c>
      <c r="B66" s="6" t="s">
        <v>421</v>
      </c>
      <c r="C66" s="6" t="s">
        <v>279</v>
      </c>
      <c r="D66" s="6" t="s">
        <v>280</v>
      </c>
      <c r="E66" s="6" t="s">
        <v>281</v>
      </c>
      <c r="F66" s="6" t="s">
        <v>282</v>
      </c>
      <c r="G66" s="6"/>
    </row>
    <row r="67" customFormat="false" ht="15" hidden="false" customHeight="false" outlineLevel="0" collapsed="false">
      <c r="A67" s="6" t="s">
        <v>42</v>
      </c>
      <c r="B67" s="6" t="s">
        <v>422</v>
      </c>
      <c r="C67" s="6" t="s">
        <v>283</v>
      </c>
      <c r="D67" s="6" t="s">
        <v>284</v>
      </c>
      <c r="E67" s="6" t="s">
        <v>285</v>
      </c>
      <c r="F67" s="6" t="s">
        <v>286</v>
      </c>
      <c r="G67" s="6"/>
    </row>
    <row r="68" customFormat="false" ht="15" hidden="false" customHeight="false" outlineLevel="0" collapsed="false">
      <c r="A68" s="6" t="s">
        <v>42</v>
      </c>
      <c r="B68" s="6" t="s">
        <v>423</v>
      </c>
      <c r="C68" s="6" t="s">
        <v>285</v>
      </c>
      <c r="D68" s="6" t="s">
        <v>286</v>
      </c>
      <c r="E68" s="6" t="s">
        <v>287</v>
      </c>
      <c r="F68" s="6" t="s">
        <v>288</v>
      </c>
      <c r="G68" s="6"/>
    </row>
    <row r="69" customFormat="false" ht="23.85" hidden="false" customHeight="false" outlineLevel="0" collapsed="false">
      <c r="A69" s="6" t="s">
        <v>47</v>
      </c>
      <c r="B69" s="6" t="s">
        <v>424</v>
      </c>
      <c r="C69" s="6" t="s">
        <v>289</v>
      </c>
      <c r="D69" s="6" t="s">
        <v>290</v>
      </c>
      <c r="E69" s="6" t="s">
        <v>291</v>
      </c>
      <c r="F69" s="6" t="s">
        <v>292</v>
      </c>
      <c r="G69" s="6"/>
    </row>
    <row r="70" customFormat="false" ht="23.85" hidden="false" customHeight="false" outlineLevel="0" collapsed="false">
      <c r="A70" s="6" t="s">
        <v>47</v>
      </c>
      <c r="B70" s="6" t="s">
        <v>425</v>
      </c>
      <c r="C70" s="6" t="s">
        <v>291</v>
      </c>
      <c r="D70" s="6" t="s">
        <v>292</v>
      </c>
      <c r="E70" s="6" t="s">
        <v>293</v>
      </c>
      <c r="F70" s="6" t="s">
        <v>294</v>
      </c>
      <c r="G70" s="6"/>
    </row>
    <row r="71" customFormat="false" ht="15" hidden="false" customHeight="false" outlineLevel="0" collapsed="false">
      <c r="A71" s="6" t="s">
        <v>47</v>
      </c>
      <c r="B71" s="6" t="s">
        <v>426</v>
      </c>
      <c r="C71" s="6" t="s">
        <v>293</v>
      </c>
      <c r="D71" s="6" t="s">
        <v>294</v>
      </c>
      <c r="E71" s="6" t="s">
        <v>297</v>
      </c>
      <c r="F71" s="6" t="s">
        <v>298</v>
      </c>
      <c r="G71" s="6" t="s">
        <v>363</v>
      </c>
    </row>
    <row r="72" customFormat="false" ht="15" hidden="false" customHeight="false" outlineLevel="0" collapsed="false">
      <c r="A72" s="6" t="s">
        <v>47</v>
      </c>
      <c r="B72" s="6" t="s">
        <v>427</v>
      </c>
      <c r="C72" s="6" t="s">
        <v>293</v>
      </c>
      <c r="D72" s="6" t="s">
        <v>294</v>
      </c>
      <c r="E72" s="6" t="s">
        <v>295</v>
      </c>
      <c r="F72" s="6" t="s">
        <v>296</v>
      </c>
      <c r="G72" s="6" t="s">
        <v>371</v>
      </c>
    </row>
    <row r="73" customFormat="false" ht="15" hidden="false" customHeight="false" outlineLevel="0" collapsed="false">
      <c r="A73" s="6" t="s">
        <v>47</v>
      </c>
      <c r="B73" s="6" t="s">
        <v>428</v>
      </c>
      <c r="C73" s="6" t="s">
        <v>295</v>
      </c>
      <c r="D73" s="6" t="s">
        <v>296</v>
      </c>
      <c r="E73" s="6" t="s">
        <v>297</v>
      </c>
      <c r="F73" s="6" t="s">
        <v>298</v>
      </c>
      <c r="G73" s="6"/>
    </row>
    <row r="74" customFormat="false" ht="15" hidden="false" customHeight="false" outlineLevel="0" collapsed="false">
      <c r="A74" s="6" t="s">
        <v>47</v>
      </c>
      <c r="B74" s="6" t="s">
        <v>429</v>
      </c>
      <c r="C74" s="6" t="s">
        <v>297</v>
      </c>
      <c r="D74" s="6" t="s">
        <v>298</v>
      </c>
      <c r="E74" s="6" t="s">
        <v>299</v>
      </c>
      <c r="F74" s="6" t="s">
        <v>300</v>
      </c>
      <c r="G74" s="6"/>
    </row>
    <row r="75" customFormat="false" ht="23.85" hidden="false" customHeight="false" outlineLevel="0" collapsed="false">
      <c r="A75" s="6" t="s">
        <v>47</v>
      </c>
      <c r="B75" s="6" t="s">
        <v>430</v>
      </c>
      <c r="C75" s="6" t="s">
        <v>299</v>
      </c>
      <c r="D75" s="6" t="s">
        <v>300</v>
      </c>
      <c r="E75" s="6" t="s">
        <v>301</v>
      </c>
      <c r="F75" s="6" t="s">
        <v>302</v>
      </c>
      <c r="G75" s="6"/>
    </row>
    <row r="76" customFormat="false" ht="23.85" hidden="false" customHeight="false" outlineLevel="0" collapsed="false">
      <c r="A76" s="6" t="s">
        <v>47</v>
      </c>
      <c r="B76" s="6" t="s">
        <v>431</v>
      </c>
      <c r="C76" s="6" t="s">
        <v>301</v>
      </c>
      <c r="D76" s="6" t="s">
        <v>302</v>
      </c>
      <c r="E76" s="6" t="s">
        <v>303</v>
      </c>
      <c r="F76" s="6" t="s">
        <v>304</v>
      </c>
      <c r="G76" s="6"/>
    </row>
    <row r="77" customFormat="false" ht="15" hidden="false" customHeight="false" outlineLevel="0" collapsed="false">
      <c r="A77" s="6" t="s">
        <v>47</v>
      </c>
      <c r="B77" s="6" t="s">
        <v>432</v>
      </c>
      <c r="C77" s="6" t="s">
        <v>303</v>
      </c>
      <c r="D77" s="6" t="s">
        <v>304</v>
      </c>
      <c r="E77" s="6" t="s">
        <v>305</v>
      </c>
      <c r="F77" s="6" t="s">
        <v>306</v>
      </c>
      <c r="G77" s="6"/>
    </row>
    <row r="78" customFormat="false" ht="15" hidden="false" customHeight="false" outlineLevel="0" collapsed="false">
      <c r="A78" s="6" t="s">
        <v>47</v>
      </c>
      <c r="B78" s="6" t="s">
        <v>433</v>
      </c>
      <c r="C78" s="6" t="s">
        <v>305</v>
      </c>
      <c r="D78" s="6" t="s">
        <v>306</v>
      </c>
      <c r="E78" s="6" t="s">
        <v>307</v>
      </c>
      <c r="F78" s="6" t="s">
        <v>308</v>
      </c>
      <c r="G78" s="6"/>
    </row>
    <row r="79" customFormat="false" ht="15" hidden="false" customHeight="false" outlineLevel="0" collapsed="false">
      <c r="A79" s="6" t="s">
        <v>47</v>
      </c>
      <c r="B79" s="6" t="s">
        <v>434</v>
      </c>
      <c r="C79" s="6" t="s">
        <v>307</v>
      </c>
      <c r="D79" s="6" t="s">
        <v>308</v>
      </c>
      <c r="E79" s="6" t="s">
        <v>309</v>
      </c>
      <c r="F79" s="6" t="s">
        <v>310</v>
      </c>
      <c r="G79" s="6"/>
    </row>
    <row r="80" customFormat="false" ht="15" hidden="false" customHeight="false" outlineLevel="0" collapsed="false">
      <c r="A80" s="6" t="s">
        <v>47</v>
      </c>
      <c r="B80" s="6" t="s">
        <v>435</v>
      </c>
      <c r="C80" s="6" t="s">
        <v>309</v>
      </c>
      <c r="D80" s="6" t="s">
        <v>310</v>
      </c>
      <c r="E80" s="6" t="s">
        <v>311</v>
      </c>
      <c r="F80" s="6" t="s">
        <v>312</v>
      </c>
      <c r="G80" s="6"/>
    </row>
    <row r="81" customFormat="false" ht="15" hidden="false" customHeight="false" outlineLevel="0" collapsed="false">
      <c r="A81" s="6" t="s">
        <v>52</v>
      </c>
      <c r="B81" s="6" t="s">
        <v>436</v>
      </c>
      <c r="C81" s="6" t="s">
        <v>313</v>
      </c>
      <c r="D81" s="6" t="s">
        <v>314</v>
      </c>
      <c r="E81" s="6" t="s">
        <v>315</v>
      </c>
      <c r="F81" s="6" t="s">
        <v>316</v>
      </c>
      <c r="G81" s="6"/>
    </row>
    <row r="82" customFormat="false" ht="15" hidden="false" customHeight="false" outlineLevel="0" collapsed="false">
      <c r="A82" s="6" t="s">
        <v>52</v>
      </c>
      <c r="B82" s="6" t="s">
        <v>437</v>
      </c>
      <c r="C82" s="6" t="s">
        <v>315</v>
      </c>
      <c r="D82" s="6" t="s">
        <v>316</v>
      </c>
      <c r="E82" s="6" t="s">
        <v>317</v>
      </c>
      <c r="F82" s="6" t="s">
        <v>318</v>
      </c>
      <c r="G82" s="6"/>
    </row>
    <row r="83" customFormat="false" ht="15" hidden="false" customHeight="false" outlineLevel="0" collapsed="false">
      <c r="A83" s="6" t="s">
        <v>52</v>
      </c>
      <c r="B83" s="6" t="s">
        <v>438</v>
      </c>
      <c r="C83" s="6" t="s">
        <v>317</v>
      </c>
      <c r="D83" s="6" t="s">
        <v>318</v>
      </c>
      <c r="E83" s="6" t="s">
        <v>321</v>
      </c>
      <c r="F83" s="6" t="s">
        <v>322</v>
      </c>
      <c r="G83" s="6" t="s">
        <v>363</v>
      </c>
    </row>
    <row r="84" customFormat="false" ht="15" hidden="false" customHeight="false" outlineLevel="0" collapsed="false">
      <c r="A84" s="6" t="s">
        <v>52</v>
      </c>
      <c r="B84" s="6" t="s">
        <v>439</v>
      </c>
      <c r="C84" s="6" t="s">
        <v>317</v>
      </c>
      <c r="D84" s="6" t="s">
        <v>318</v>
      </c>
      <c r="E84" s="6" t="s">
        <v>319</v>
      </c>
      <c r="F84" s="6" t="s">
        <v>320</v>
      </c>
      <c r="G84" s="6" t="s">
        <v>371</v>
      </c>
    </row>
    <row r="85" customFormat="false" ht="15" hidden="false" customHeight="false" outlineLevel="0" collapsed="false">
      <c r="A85" s="6" t="s">
        <v>52</v>
      </c>
      <c r="B85" s="6" t="s">
        <v>440</v>
      </c>
      <c r="C85" s="6" t="s">
        <v>321</v>
      </c>
      <c r="D85" s="6" t="s">
        <v>322</v>
      </c>
      <c r="E85" s="6" t="s">
        <v>323</v>
      </c>
      <c r="F85" s="6" t="s">
        <v>324</v>
      </c>
      <c r="G85" s="6"/>
    </row>
    <row r="86" customFormat="false" ht="15" hidden="false" customHeight="false" outlineLevel="0" collapsed="false">
      <c r="A86" s="6" t="s">
        <v>52</v>
      </c>
      <c r="B86" s="6" t="s">
        <v>441</v>
      </c>
      <c r="C86" s="6" t="s">
        <v>323</v>
      </c>
      <c r="D86" s="6" t="s">
        <v>324</v>
      </c>
      <c r="E86" s="6" t="s">
        <v>327</v>
      </c>
      <c r="F86" s="6" t="s">
        <v>328</v>
      </c>
      <c r="G86" s="6" t="s">
        <v>363</v>
      </c>
    </row>
    <row r="87" customFormat="false" ht="15" hidden="false" customHeight="false" outlineLevel="0" collapsed="false">
      <c r="A87" s="6" t="s">
        <v>52</v>
      </c>
      <c r="B87" s="6" t="s">
        <v>442</v>
      </c>
      <c r="C87" s="6" t="s">
        <v>323</v>
      </c>
      <c r="D87" s="6" t="s">
        <v>324</v>
      </c>
      <c r="E87" s="6" t="s">
        <v>325</v>
      </c>
      <c r="F87" s="6" t="s">
        <v>326</v>
      </c>
      <c r="G87" s="6" t="s">
        <v>371</v>
      </c>
    </row>
    <row r="88" customFormat="false" ht="15" hidden="false" customHeight="false" outlineLevel="0" collapsed="false">
      <c r="A88" s="6" t="s">
        <v>52</v>
      </c>
      <c r="B88" s="6" t="s">
        <v>443</v>
      </c>
      <c r="C88" s="6" t="s">
        <v>325</v>
      </c>
      <c r="D88" s="6" t="s">
        <v>326</v>
      </c>
      <c r="E88" s="6" t="s">
        <v>321</v>
      </c>
      <c r="F88" s="6" t="s">
        <v>322</v>
      </c>
      <c r="G88" s="6"/>
    </row>
    <row r="89" customFormat="false" ht="15" hidden="false" customHeight="false" outlineLevel="0" collapsed="false">
      <c r="A89" s="6" t="s">
        <v>52</v>
      </c>
      <c r="B89" s="6" t="s">
        <v>444</v>
      </c>
      <c r="C89" s="6" t="s">
        <v>327</v>
      </c>
      <c r="D89" s="6" t="s">
        <v>328</v>
      </c>
      <c r="E89" s="6" t="s">
        <v>329</v>
      </c>
      <c r="F89" s="6" t="s">
        <v>154</v>
      </c>
      <c r="G89" s="6"/>
    </row>
    <row r="90" customFormat="false" ht="15" hidden="false" customHeight="false" outlineLevel="0" collapsed="false">
      <c r="A90" s="6" t="s">
        <v>52</v>
      </c>
      <c r="B90" s="6" t="s">
        <v>445</v>
      </c>
      <c r="C90" s="6" t="s">
        <v>329</v>
      </c>
      <c r="D90" s="6" t="s">
        <v>154</v>
      </c>
      <c r="E90" s="6" t="s">
        <v>330</v>
      </c>
      <c r="F90" s="6" t="s">
        <v>331</v>
      </c>
      <c r="G90" s="6"/>
    </row>
    <row r="91" customFormat="false" ht="23.85" hidden="false" customHeight="false" outlineLevel="0" collapsed="false">
      <c r="A91" s="6" t="s">
        <v>52</v>
      </c>
      <c r="B91" s="6" t="s">
        <v>446</v>
      </c>
      <c r="C91" s="6" t="s">
        <v>329</v>
      </c>
      <c r="D91" s="6" t="s">
        <v>154</v>
      </c>
      <c r="E91" s="6" t="s">
        <v>338</v>
      </c>
      <c r="F91" s="6" t="s">
        <v>339</v>
      </c>
      <c r="G91" s="6"/>
    </row>
    <row r="92" customFormat="false" ht="15" hidden="false" customHeight="false" outlineLevel="0" collapsed="false">
      <c r="A92" s="6" t="s">
        <v>52</v>
      </c>
      <c r="B92" s="6" t="s">
        <v>447</v>
      </c>
      <c r="C92" s="6" t="s">
        <v>330</v>
      </c>
      <c r="D92" s="6" t="s">
        <v>331</v>
      </c>
      <c r="E92" s="6" t="s">
        <v>332</v>
      </c>
      <c r="F92" s="6" t="s">
        <v>333</v>
      </c>
      <c r="G92" s="6"/>
    </row>
    <row r="93" customFormat="false" ht="15" hidden="false" customHeight="false" outlineLevel="0" collapsed="false">
      <c r="A93" s="6" t="s">
        <v>52</v>
      </c>
      <c r="B93" s="6" t="s">
        <v>448</v>
      </c>
      <c r="C93" s="6" t="s">
        <v>332</v>
      </c>
      <c r="D93" s="6" t="s">
        <v>333</v>
      </c>
      <c r="E93" s="6" t="s">
        <v>334</v>
      </c>
      <c r="F93" s="6" t="s">
        <v>335</v>
      </c>
      <c r="G93" s="6"/>
    </row>
    <row r="94" customFormat="false" ht="15" hidden="false" customHeight="false" outlineLevel="0" collapsed="false">
      <c r="A94" s="6" t="s">
        <v>52</v>
      </c>
      <c r="B94" s="6" t="s">
        <v>449</v>
      </c>
      <c r="C94" s="6" t="s">
        <v>334</v>
      </c>
      <c r="D94" s="6" t="s">
        <v>335</v>
      </c>
      <c r="E94" s="6" t="s">
        <v>336</v>
      </c>
      <c r="F94" s="6" t="s">
        <v>337</v>
      </c>
      <c r="G94" s="6"/>
    </row>
    <row r="95" customFormat="false" ht="23.85" hidden="false" customHeight="false" outlineLevel="0" collapsed="false">
      <c r="A95" s="6" t="s">
        <v>52</v>
      </c>
      <c r="B95" s="6" t="s">
        <v>450</v>
      </c>
      <c r="C95" s="6" t="s">
        <v>338</v>
      </c>
      <c r="D95" s="6" t="s">
        <v>339</v>
      </c>
      <c r="E95" s="6" t="s">
        <v>340</v>
      </c>
      <c r="F95" s="6" t="s">
        <v>341</v>
      </c>
      <c r="G95" s="6"/>
    </row>
    <row r="96" customFormat="false" ht="15" hidden="false" customHeight="false" outlineLevel="0" collapsed="false">
      <c r="A96" s="6" t="s">
        <v>52</v>
      </c>
      <c r="B96" s="6" t="s">
        <v>451</v>
      </c>
      <c r="C96" s="6" t="s">
        <v>340</v>
      </c>
      <c r="D96" s="6" t="s">
        <v>341</v>
      </c>
      <c r="E96" s="6" t="s">
        <v>342</v>
      </c>
      <c r="F96" s="6" t="s">
        <v>343</v>
      </c>
      <c r="G96" s="6"/>
    </row>
    <row r="97" customFormat="false" ht="15" hidden="false" customHeight="false" outlineLevel="0" collapsed="false">
      <c r="A97" s="6" t="s">
        <v>52</v>
      </c>
      <c r="B97" s="6" t="s">
        <v>452</v>
      </c>
      <c r="C97" s="6" t="s">
        <v>342</v>
      </c>
      <c r="D97" s="6" t="s">
        <v>343</v>
      </c>
      <c r="E97" s="6" t="s">
        <v>344</v>
      </c>
      <c r="F97" s="6" t="s">
        <v>345</v>
      </c>
      <c r="G97" s="6"/>
    </row>
    <row r="98" customFormat="false" ht="15" hidden="false" customHeight="false" outlineLevel="0" collapsed="false">
      <c r="A98" s="6" t="s">
        <v>52</v>
      </c>
      <c r="B98" s="6" t="s">
        <v>453</v>
      </c>
      <c r="C98" s="6" t="s">
        <v>344</v>
      </c>
      <c r="D98" s="6" t="s">
        <v>345</v>
      </c>
      <c r="E98" s="6" t="s">
        <v>346</v>
      </c>
      <c r="F98" s="6" t="s">
        <v>347</v>
      </c>
      <c r="G9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36"/>
  </cols>
  <sheetData>
    <row r="1" customFormat="false" ht="15" hidden="false" customHeight="false" outlineLevel="0" collapsed="false">
      <c r="A1" s="5" t="s">
        <v>11</v>
      </c>
      <c r="B1" s="5" t="s">
        <v>57</v>
      </c>
      <c r="C1" s="5" t="s">
        <v>454</v>
      </c>
      <c r="D1" s="5" t="s">
        <v>348</v>
      </c>
      <c r="E1" s="5" t="s">
        <v>349</v>
      </c>
      <c r="F1" s="5" t="s">
        <v>350</v>
      </c>
      <c r="G1" s="5" t="s">
        <v>351</v>
      </c>
    </row>
    <row r="2" customFormat="false" ht="23.85" hidden="false" customHeight="false" outlineLevel="0" collapsed="false">
      <c r="A2" s="6" t="s">
        <v>27</v>
      </c>
      <c r="B2" s="6" t="s">
        <v>455</v>
      </c>
      <c r="C2" s="6" t="s">
        <v>456</v>
      </c>
      <c r="D2" s="6" t="s">
        <v>183</v>
      </c>
      <c r="E2" s="6" t="s">
        <v>184</v>
      </c>
      <c r="F2" s="6" t="s">
        <v>71</v>
      </c>
      <c r="G2" s="6" t="s">
        <v>457</v>
      </c>
    </row>
    <row r="3" customFormat="false" ht="15" hidden="false" customHeight="false" outlineLevel="0" collapsed="false">
      <c r="A3" s="6" t="s">
        <v>27</v>
      </c>
      <c r="B3" s="6" t="s">
        <v>458</v>
      </c>
      <c r="C3" s="6" t="s">
        <v>459</v>
      </c>
      <c r="D3" s="6" t="s">
        <v>185</v>
      </c>
      <c r="E3" s="6" t="s">
        <v>186</v>
      </c>
      <c r="F3" s="6" t="s">
        <v>71</v>
      </c>
      <c r="G3" s="6" t="s">
        <v>457</v>
      </c>
    </row>
    <row r="4" customFormat="false" ht="23.85" hidden="false" customHeight="false" outlineLevel="0" collapsed="false">
      <c r="A4" s="6" t="s">
        <v>27</v>
      </c>
      <c r="B4" s="6" t="s">
        <v>460</v>
      </c>
      <c r="C4" s="6" t="s">
        <v>461</v>
      </c>
      <c r="D4" s="6" t="s">
        <v>187</v>
      </c>
      <c r="E4" s="6" t="s">
        <v>188</v>
      </c>
      <c r="F4" s="6" t="s">
        <v>85</v>
      </c>
      <c r="G4" s="6" t="s">
        <v>462</v>
      </c>
    </row>
    <row r="5" customFormat="false" ht="15" hidden="false" customHeight="false" outlineLevel="0" collapsed="false">
      <c r="A5" s="6" t="s">
        <v>27</v>
      </c>
      <c r="B5" s="6" t="s">
        <v>463</v>
      </c>
      <c r="C5" s="6" t="s">
        <v>464</v>
      </c>
      <c r="D5" s="6" t="s">
        <v>85</v>
      </c>
      <c r="E5" s="6" t="s">
        <v>462</v>
      </c>
      <c r="F5" s="6" t="s">
        <v>189</v>
      </c>
      <c r="G5" s="6" t="s">
        <v>190</v>
      </c>
    </row>
    <row r="6" customFormat="false" ht="15" hidden="false" customHeight="false" outlineLevel="0" collapsed="false">
      <c r="A6" s="6" t="s">
        <v>27</v>
      </c>
      <c r="B6" s="6" t="s">
        <v>465</v>
      </c>
      <c r="C6" s="6" t="s">
        <v>466</v>
      </c>
      <c r="D6" s="6" t="s">
        <v>194</v>
      </c>
      <c r="E6" s="6" t="s">
        <v>195</v>
      </c>
      <c r="F6" s="6" t="s">
        <v>85</v>
      </c>
      <c r="G6" s="6" t="s">
        <v>462</v>
      </c>
    </row>
    <row r="7" customFormat="false" ht="15" hidden="false" customHeight="false" outlineLevel="0" collapsed="false">
      <c r="A7" s="6" t="s">
        <v>32</v>
      </c>
      <c r="B7" s="6" t="s">
        <v>467</v>
      </c>
      <c r="C7" s="6" t="s">
        <v>468</v>
      </c>
      <c r="D7" s="6" t="s">
        <v>87</v>
      </c>
      <c r="E7" s="6" t="s">
        <v>469</v>
      </c>
      <c r="F7" s="6" t="s">
        <v>200</v>
      </c>
      <c r="G7" s="6" t="s">
        <v>201</v>
      </c>
    </row>
    <row r="8" customFormat="false" ht="23.85" hidden="false" customHeight="false" outlineLevel="0" collapsed="false">
      <c r="A8" s="6" t="s">
        <v>32</v>
      </c>
      <c r="B8" s="6" t="s">
        <v>470</v>
      </c>
      <c r="C8" s="6" t="s">
        <v>471</v>
      </c>
      <c r="D8" s="6" t="s">
        <v>203</v>
      </c>
      <c r="E8" s="6" t="s">
        <v>204</v>
      </c>
      <c r="F8" s="6" t="s">
        <v>87</v>
      </c>
      <c r="G8" s="6" t="s">
        <v>469</v>
      </c>
    </row>
    <row r="9" customFormat="false" ht="15" hidden="false" customHeight="false" outlineLevel="0" collapsed="false">
      <c r="A9" s="6" t="s">
        <v>32</v>
      </c>
      <c r="B9" s="6" t="s">
        <v>472</v>
      </c>
      <c r="C9" s="6" t="s">
        <v>473</v>
      </c>
      <c r="D9" s="6" t="s">
        <v>87</v>
      </c>
      <c r="E9" s="6" t="s">
        <v>469</v>
      </c>
      <c r="F9" s="6" t="s">
        <v>209</v>
      </c>
      <c r="G9" s="6" t="s">
        <v>210</v>
      </c>
    </row>
    <row r="10" customFormat="false" ht="15" hidden="false" customHeight="false" outlineLevel="0" collapsed="false">
      <c r="A10" s="6" t="s">
        <v>32</v>
      </c>
      <c r="B10" s="6" t="s">
        <v>474</v>
      </c>
      <c r="C10" s="6" t="s">
        <v>475</v>
      </c>
      <c r="D10" s="6" t="s">
        <v>211</v>
      </c>
      <c r="E10" s="6" t="s">
        <v>212</v>
      </c>
      <c r="F10" s="6" t="s">
        <v>87</v>
      </c>
      <c r="G10" s="6" t="s">
        <v>469</v>
      </c>
    </row>
    <row r="11" customFormat="false" ht="23.85" hidden="false" customHeight="false" outlineLevel="0" collapsed="false">
      <c r="A11" s="6" t="s">
        <v>32</v>
      </c>
      <c r="B11" s="6" t="s">
        <v>476</v>
      </c>
      <c r="C11" s="6" t="s">
        <v>477</v>
      </c>
      <c r="D11" s="6" t="s">
        <v>87</v>
      </c>
      <c r="E11" s="6" t="s">
        <v>469</v>
      </c>
      <c r="F11" s="6" t="s">
        <v>215</v>
      </c>
      <c r="G11" s="6" t="s">
        <v>216</v>
      </c>
    </row>
    <row r="12" customFormat="false" ht="15" hidden="false" customHeight="false" outlineLevel="0" collapsed="false">
      <c r="A12" s="6" t="s">
        <v>32</v>
      </c>
      <c r="B12" s="6" t="s">
        <v>478</v>
      </c>
      <c r="C12" s="6" t="s">
        <v>479</v>
      </c>
      <c r="D12" s="6" t="s">
        <v>221</v>
      </c>
      <c r="E12" s="6" t="s">
        <v>222</v>
      </c>
      <c r="F12" s="6" t="s">
        <v>87</v>
      </c>
      <c r="G12" s="6" t="s">
        <v>469</v>
      </c>
    </row>
    <row r="13" customFormat="false" ht="15" hidden="false" customHeight="false" outlineLevel="0" collapsed="false">
      <c r="A13" s="6" t="s">
        <v>32</v>
      </c>
      <c r="B13" s="6" t="s">
        <v>480</v>
      </c>
      <c r="C13" s="6" t="s">
        <v>481</v>
      </c>
      <c r="D13" s="6" t="s">
        <v>87</v>
      </c>
      <c r="E13" s="6" t="s">
        <v>469</v>
      </c>
      <c r="F13" s="6" t="s">
        <v>223</v>
      </c>
      <c r="G13" s="6" t="s">
        <v>224</v>
      </c>
    </row>
    <row r="14" customFormat="false" ht="15" hidden="false" customHeight="false" outlineLevel="0" collapsed="false">
      <c r="A14" s="6" t="s">
        <v>37</v>
      </c>
      <c r="B14" s="6" t="s">
        <v>482</v>
      </c>
      <c r="C14" s="6" t="s">
        <v>483</v>
      </c>
      <c r="D14" s="6" t="s">
        <v>231</v>
      </c>
      <c r="E14" s="6" t="s">
        <v>232</v>
      </c>
      <c r="F14" s="6" t="s">
        <v>106</v>
      </c>
      <c r="G14" s="6" t="s">
        <v>469</v>
      </c>
    </row>
    <row r="15" customFormat="false" ht="15" hidden="false" customHeight="false" outlineLevel="0" collapsed="false">
      <c r="A15" s="6" t="s">
        <v>37</v>
      </c>
      <c r="B15" s="6" t="s">
        <v>484</v>
      </c>
      <c r="C15" s="6" t="s">
        <v>485</v>
      </c>
      <c r="D15" s="6" t="s">
        <v>106</v>
      </c>
      <c r="E15" s="6" t="s">
        <v>469</v>
      </c>
      <c r="F15" s="6" t="s">
        <v>235</v>
      </c>
      <c r="G15" s="6" t="s">
        <v>236</v>
      </c>
    </row>
    <row r="16" customFormat="false" ht="23.85" hidden="false" customHeight="false" outlineLevel="0" collapsed="false">
      <c r="A16" s="6" t="s">
        <v>37</v>
      </c>
      <c r="B16" s="6" t="s">
        <v>486</v>
      </c>
      <c r="C16" s="6" t="s">
        <v>487</v>
      </c>
      <c r="D16" s="6" t="s">
        <v>248</v>
      </c>
      <c r="E16" s="6" t="s">
        <v>249</v>
      </c>
      <c r="F16" s="6" t="s">
        <v>106</v>
      </c>
      <c r="G16" s="6" t="s">
        <v>469</v>
      </c>
    </row>
    <row r="17" customFormat="false" ht="23.85" hidden="false" customHeight="false" outlineLevel="0" collapsed="false">
      <c r="A17" s="6" t="s">
        <v>37</v>
      </c>
      <c r="B17" s="6" t="s">
        <v>488</v>
      </c>
      <c r="C17" s="6" t="s">
        <v>489</v>
      </c>
      <c r="D17" s="6" t="s">
        <v>252</v>
      </c>
      <c r="E17" s="6" t="s">
        <v>253</v>
      </c>
      <c r="F17" s="6" t="s">
        <v>106</v>
      </c>
      <c r="G17" s="6" t="s">
        <v>469</v>
      </c>
    </row>
    <row r="18" customFormat="false" ht="15" hidden="false" customHeight="false" outlineLevel="0" collapsed="false">
      <c r="A18" s="6" t="s">
        <v>42</v>
      </c>
      <c r="B18" s="6" t="s">
        <v>490</v>
      </c>
      <c r="C18" s="6" t="s">
        <v>491</v>
      </c>
      <c r="D18" s="6" t="s">
        <v>265</v>
      </c>
      <c r="E18" s="6" t="s">
        <v>266</v>
      </c>
      <c r="F18" s="6" t="s">
        <v>114</v>
      </c>
      <c r="G18" s="6" t="s">
        <v>492</v>
      </c>
    </row>
    <row r="19" customFormat="false" ht="15" hidden="false" customHeight="false" outlineLevel="0" collapsed="false">
      <c r="A19" s="6" t="s">
        <v>42</v>
      </c>
      <c r="B19" s="6" t="s">
        <v>493</v>
      </c>
      <c r="C19" s="6" t="s">
        <v>494</v>
      </c>
      <c r="D19" s="6" t="s">
        <v>114</v>
      </c>
      <c r="E19" s="6" t="s">
        <v>492</v>
      </c>
      <c r="F19" s="6" t="s">
        <v>267</v>
      </c>
      <c r="G19" s="6" t="s">
        <v>268</v>
      </c>
    </row>
    <row r="20" customFormat="false" ht="15" hidden="false" customHeight="false" outlineLevel="0" collapsed="false">
      <c r="A20" s="6" t="s">
        <v>42</v>
      </c>
      <c r="B20" s="6" t="s">
        <v>495</v>
      </c>
      <c r="C20" s="6" t="s">
        <v>496</v>
      </c>
      <c r="D20" s="6" t="s">
        <v>275</v>
      </c>
      <c r="E20" s="6" t="s">
        <v>276</v>
      </c>
      <c r="F20" s="6" t="s">
        <v>114</v>
      </c>
      <c r="G20" s="6" t="s">
        <v>492</v>
      </c>
    </row>
    <row r="21" customFormat="false" ht="15" hidden="false" customHeight="false" outlineLevel="0" collapsed="false">
      <c r="A21" s="6" t="s">
        <v>42</v>
      </c>
      <c r="B21" s="6" t="s">
        <v>497</v>
      </c>
      <c r="C21" s="6" t="s">
        <v>498</v>
      </c>
      <c r="D21" s="6" t="s">
        <v>114</v>
      </c>
      <c r="E21" s="6" t="s">
        <v>492</v>
      </c>
      <c r="F21" s="6" t="s">
        <v>277</v>
      </c>
      <c r="G21" s="6" t="s">
        <v>278</v>
      </c>
    </row>
    <row r="22" customFormat="false" ht="23.85" hidden="false" customHeight="false" outlineLevel="0" collapsed="false">
      <c r="A22" s="6" t="s">
        <v>42</v>
      </c>
      <c r="B22" s="6" t="s">
        <v>499</v>
      </c>
      <c r="C22" s="6" t="s">
        <v>500</v>
      </c>
      <c r="D22" s="6" t="s">
        <v>271</v>
      </c>
      <c r="E22" s="6" t="s">
        <v>272</v>
      </c>
      <c r="F22" s="6" t="s">
        <v>107</v>
      </c>
      <c r="G22" s="6" t="s">
        <v>469</v>
      </c>
    </row>
    <row r="23" customFormat="false" ht="15" hidden="false" customHeight="false" outlineLevel="0" collapsed="false">
      <c r="A23" s="6" t="s">
        <v>47</v>
      </c>
      <c r="B23" s="6" t="s">
        <v>501</v>
      </c>
      <c r="C23" s="6" t="s">
        <v>502</v>
      </c>
      <c r="D23" s="6" t="s">
        <v>297</v>
      </c>
      <c r="E23" s="6" t="s">
        <v>298</v>
      </c>
      <c r="F23" s="6" t="s">
        <v>116</v>
      </c>
      <c r="G23" s="6" t="s">
        <v>503</v>
      </c>
    </row>
    <row r="24" customFormat="false" ht="15" hidden="false" customHeight="false" outlineLevel="0" collapsed="false">
      <c r="A24" s="6" t="s">
        <v>47</v>
      </c>
      <c r="B24" s="6" t="s">
        <v>504</v>
      </c>
      <c r="C24" s="6" t="s">
        <v>505</v>
      </c>
      <c r="D24" s="6" t="s">
        <v>116</v>
      </c>
      <c r="E24" s="6" t="s">
        <v>503</v>
      </c>
      <c r="F24" s="6" t="s">
        <v>299</v>
      </c>
      <c r="G24" s="6" t="s">
        <v>300</v>
      </c>
    </row>
    <row r="25" customFormat="false" ht="15" hidden="false" customHeight="false" outlineLevel="0" collapsed="false">
      <c r="A25" s="6" t="s">
        <v>47</v>
      </c>
      <c r="B25" s="6" t="s">
        <v>506</v>
      </c>
      <c r="C25" s="6" t="s">
        <v>507</v>
      </c>
      <c r="D25" s="6" t="s">
        <v>116</v>
      </c>
      <c r="E25" s="6" t="s">
        <v>503</v>
      </c>
      <c r="F25" s="6" t="s">
        <v>303</v>
      </c>
      <c r="G25" s="6" t="s">
        <v>304</v>
      </c>
    </row>
    <row r="26" customFormat="false" ht="15" hidden="false" customHeight="false" outlineLevel="0" collapsed="false">
      <c r="A26" s="6" t="s">
        <v>47</v>
      </c>
      <c r="B26" s="6" t="s">
        <v>508</v>
      </c>
      <c r="C26" s="6" t="s">
        <v>509</v>
      </c>
      <c r="D26" s="6" t="s">
        <v>309</v>
      </c>
      <c r="E26" s="6" t="s">
        <v>310</v>
      </c>
      <c r="F26" s="6" t="s">
        <v>116</v>
      </c>
      <c r="G26" s="6" t="s">
        <v>503</v>
      </c>
    </row>
    <row r="27" customFormat="false" ht="15" hidden="false" customHeight="false" outlineLevel="0" collapsed="false">
      <c r="A27" s="6" t="s">
        <v>52</v>
      </c>
      <c r="B27" s="6" t="s">
        <v>510</v>
      </c>
      <c r="C27" s="6" t="s">
        <v>511</v>
      </c>
      <c r="D27" s="6" t="s">
        <v>321</v>
      </c>
      <c r="E27" s="6" t="s">
        <v>322</v>
      </c>
      <c r="F27" s="6" t="s">
        <v>130</v>
      </c>
      <c r="G27" s="6" t="s">
        <v>469</v>
      </c>
    </row>
    <row r="28" customFormat="false" ht="23.85" hidden="false" customHeight="false" outlineLevel="0" collapsed="false">
      <c r="A28" s="6" t="s">
        <v>52</v>
      </c>
      <c r="B28" s="6" t="s">
        <v>512</v>
      </c>
      <c r="C28" s="6" t="s">
        <v>513</v>
      </c>
      <c r="D28" s="6" t="s">
        <v>340</v>
      </c>
      <c r="E28" s="6" t="s">
        <v>341</v>
      </c>
      <c r="F28" s="6" t="s">
        <v>139</v>
      </c>
      <c r="G28" s="6" t="s">
        <v>514</v>
      </c>
    </row>
    <row r="29" customFormat="false" ht="15" hidden="false" customHeight="false" outlineLevel="0" collapsed="false">
      <c r="A29" s="6" t="s">
        <v>52</v>
      </c>
      <c r="B29" s="6" t="s">
        <v>515</v>
      </c>
      <c r="C29" s="6" t="s">
        <v>516</v>
      </c>
      <c r="D29" s="6" t="s">
        <v>139</v>
      </c>
      <c r="E29" s="6" t="s">
        <v>514</v>
      </c>
      <c r="F29" s="6" t="s">
        <v>342</v>
      </c>
      <c r="G29" s="6" t="s">
        <v>343</v>
      </c>
    </row>
    <row r="30" customFormat="false" ht="15" hidden="false" customHeight="false" outlineLevel="0" collapsed="false">
      <c r="A30" s="6" t="s">
        <v>52</v>
      </c>
      <c r="B30" s="6" t="s">
        <v>517</v>
      </c>
      <c r="C30" s="6" t="s">
        <v>518</v>
      </c>
      <c r="D30" s="6" t="s">
        <v>344</v>
      </c>
      <c r="E30" s="6" t="s">
        <v>345</v>
      </c>
      <c r="F30" s="6" t="s">
        <v>130</v>
      </c>
      <c r="G30" s="6" t="s">
        <v>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2026-09-24T09:02:15Z</dcterms:created>
  <dc:creator>openpyxl</dc:creator>
  <dc:description/>
  <dc:language>en-US</dc:language>
  <cp:lastModifiedBy/>
  <dcterms:modified xsi:type="dcterms:W3CDTF">2026-09-24T09:02:15Z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